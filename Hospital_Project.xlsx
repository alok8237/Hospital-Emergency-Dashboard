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loka\Downloads\"/>
    </mc:Choice>
  </mc:AlternateContent>
  <xr:revisionPtr revIDLastSave="0" documentId="13_ncr:1_{A7294692-7446-4CF3-8237-C33FF968109D}" xr6:coauthVersionLast="47" xr6:coauthVersionMax="47" xr10:uidLastSave="{00000000-0000-0000-0000-000000000000}"/>
  <bookViews>
    <workbookView xWindow="-110" yWindow="-110" windowWidth="19420" windowHeight="10300" activeTab="1" xr2:uid="{6AA007DA-E87D-44C8-9ECB-4A48A8DE2EC8}"/>
  </bookViews>
  <sheets>
    <sheet name="Pivot Report" sheetId="2" r:id="rId1"/>
    <sheet name="Dashboard" sheetId="3" r:id="rId2"/>
    <sheet name="Daily ER No of patient" sheetId="4" r:id="rId3"/>
    <sheet name="Average Waittime" sheetId="6" r:id="rId4"/>
    <sheet name="Average Satisfaction score" sheetId="7" r:id="rId5"/>
  </sheets>
  <definedNames>
    <definedName name="Slicer_Date__Month">#N/A</definedName>
    <definedName name="Slicer_Date__Year">#N/A</definedName>
  </definedNames>
  <calcPr calcId="191029"/>
  <pivotCaches>
    <pivotCache cacheId="987" r:id="rId6"/>
    <pivotCache cacheId="990" r:id="rId7"/>
    <pivotCache cacheId="993" r:id="rId8"/>
    <pivotCache cacheId="996" r:id="rId9"/>
    <pivotCache cacheId="999" r:id="rId10"/>
    <pivotCache cacheId="1002" r:id="rId11"/>
    <pivotCache cacheId="1005" r:id="rId12"/>
    <pivotCache cacheId="1008" r:id="rId13"/>
    <pivotCache cacheId="1011" r:id="rId14"/>
    <pivotCache cacheId="1014" r:id="rId15"/>
    <pivotCache cacheId="1017" r:id="rId16"/>
    <pivotCache cacheId="102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83a7c88-575e-44e3-8349-0bb50152fcf2" name="Hospital Emergency Room Data" connection="Query - Hospital Emergency Room Data"/>
          <x15:modelTable id="Calendar_Table_493c8f0a-caad-4714-8b84-9461ded56334"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7" i="2" l="1"/>
  <c r="A46" i="2"/>
  <c r="B46" i="2"/>
  <c r="C46" i="2"/>
  <c r="B47" i="2"/>
  <c r="C4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35DAE-B46C-4513-8651-861CC14203E1}" name="Query - Calendar_Table" description="Connection to the 'Calendar_Table' query in the workbook." type="100" refreshedVersion="7" minRefreshableVersion="5">
    <extLst>
      <ext xmlns:x15="http://schemas.microsoft.com/office/spreadsheetml/2010/11/main" uri="{DE250136-89BD-433C-8126-D09CA5730AF9}">
        <x15:connection id="7b121269-b26f-438a-957b-e9138d63fa1c"/>
      </ext>
    </extLst>
  </connection>
  <connection id="2" xr16:uid="{2C30D60F-B919-46BA-8911-834271375F7C}"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d5b70391-28d6-442f-9fa2-1f85a853ba17"/>
      </ext>
    </extLst>
  </connection>
  <connection id="3" xr16:uid="{8235BF9E-F27A-4874-94A9-91861428EDC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<sst xmlns="http://schemas.openxmlformats.org/spreadsheetml/2006/main" count="148" uniqueCount="72">
  <si>
    <t>Row Labels</t>
  </si>
  <si>
    <t>Grand Total</t>
  </si>
  <si>
    <t>Distinct Count of Patient Id</t>
  </si>
  <si>
    <t>No. of patient</t>
  </si>
  <si>
    <t>Average of Patient Waittime</t>
  </si>
  <si>
    <t>Average of Patient Satisfaction Score</t>
  </si>
  <si>
    <t>Daily trends of no of patient</t>
  </si>
  <si>
    <t>Average waittime</t>
  </si>
  <si>
    <t>Satisfaction Score daily trend</t>
  </si>
  <si>
    <t>Admitted</t>
  </si>
  <si>
    <t>Not Admitted</t>
  </si>
  <si>
    <t>Count of Patient Admission Flag</t>
  </si>
  <si>
    <t>Count of Patient Admission Flag2</t>
  </si>
  <si>
    <t>Admission Status</t>
  </si>
  <si>
    <t>% Status</t>
  </si>
  <si>
    <t>Patient</t>
  </si>
  <si>
    <t>0-9</t>
  </si>
  <si>
    <t>10-19</t>
  </si>
  <si>
    <t>20-29</t>
  </si>
  <si>
    <t>30-39</t>
  </si>
  <si>
    <t>40-49</t>
  </si>
  <si>
    <t>50-59</t>
  </si>
  <si>
    <t>60-69</t>
  </si>
  <si>
    <t>70-79</t>
  </si>
  <si>
    <t>Count of Age Group</t>
  </si>
  <si>
    <t>Age group wise analysis</t>
  </si>
  <si>
    <t>Delay</t>
  </si>
  <si>
    <t>Ontime</t>
  </si>
  <si>
    <t>Count of Patient attend Status</t>
  </si>
  <si>
    <t>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</si>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</sst>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6" tint="0.79998168889431442"/>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8"/>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 fontId="0" fillId="0" borderId="0" xfId="0" applyNumberFormat="1"/>
    <xf numFmtId="10" fontId="0" fillId="0" borderId="0" xfId="0" applyNumberFormat="1"/>
    <xf numFmtId="9" fontId="0" fillId="0" borderId="0" xfId="1" applyFont="1"/>
    <xf numFmtId="0" fontId="0" fillId="3" borderId="0" xfId="0" applyFill="1"/>
    <xf numFmtId="9" fontId="0" fillId="4" borderId="0" xfId="1" applyFont="1" applyFill="1"/>
    <xf numFmtId="0" fontId="2" fillId="4" borderId="0" xfId="0" applyFont="1" applyFill="1"/>
    <xf numFmtId="0" fontId="0" fillId="3" borderId="0" xfId="0" applyFont="1" applyFill="1" applyAlignment="1">
      <alignment horizontal="left"/>
    </xf>
    <xf numFmtId="0" fontId="0" fillId="3" borderId="0" xfId="0" applyFont="1" applyFill="1"/>
    <xf numFmtId="0" fontId="0" fillId="4" borderId="0" xfId="0" applyFont="1" applyFill="1"/>
  </cellXfs>
  <cellStyles count="2">
    <cellStyle name="Normal" xfId="0" builtinId="0"/>
    <cellStyle name="Percent" xfId="1" builtinId="5"/>
  </cellStyles>
  <dxfs count="582">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theme="4"/>
        </bottom>
        <vertical/>
        <horizontal/>
      </border>
    </dxf>
    <dxf>
      <font>
        <sz val="7.5"/>
        <color theme="1"/>
      </font>
      <fill>
        <patternFill patternType="solid">
          <bgColor theme="2"/>
        </patternFill>
      </fill>
      <border>
        <left/>
        <right/>
        <top/>
        <bottom/>
        <vertical/>
        <horizontal/>
      </border>
    </dxf>
    <dxf>
      <font>
        <b/>
        <color theme="1"/>
      </font>
      <border>
        <bottom style="thin">
          <color theme="4"/>
        </bottom>
        <vertical/>
        <horizontal/>
      </border>
    </dxf>
    <dxf>
      <font>
        <color theme="1"/>
      </font>
      <fill>
        <patternFill patternType="none">
          <bgColor auto="1"/>
        </patternFill>
      </fill>
      <border>
        <left/>
        <right/>
        <top/>
        <bottom/>
        <vertical/>
        <horizontal/>
      </border>
    </dxf>
    <dxf>
      <fill>
        <patternFill>
          <bgColor theme="2"/>
        </patternFill>
      </fill>
    </dxf>
    <dxf>
      <font>
        <b/>
        <color theme="1"/>
      </font>
      <border>
        <bottom style="thin">
          <color theme="5"/>
        </bottom>
        <vertical/>
        <horizontal/>
      </border>
    </dxf>
    <dxf>
      <font>
        <sz val="8"/>
        <color theme="1"/>
      </font>
      <fill>
        <patternFill>
          <bgColor theme="2"/>
        </patternFill>
      </fill>
      <border>
        <left style="thin">
          <color theme="5"/>
        </left>
        <right style="thin">
          <color theme="5"/>
        </right>
        <top style="thin">
          <color theme="5"/>
        </top>
        <bottom style="thin">
          <color theme="5"/>
        </bottom>
        <vertical/>
        <horizontal/>
      </border>
    </dxf>
  </dxfs>
  <tableStyles count="5" defaultTableStyle="TableStyleMedium2" defaultPivotStyle="PivotStyleLight16">
    <tableStyle name="My Style" pivot="0" table="0" count="10" xr9:uid="{43771299-125E-4AD2-9547-9D6A233C8FF3}">
      <tableStyleElement type="wholeTable" dxfId="581"/>
      <tableStyleElement type="headerRow" dxfId="580"/>
    </tableStyle>
    <tableStyle name="Slicer Style 1" pivot="0" table="0" count="0" xr9:uid="{A6E3ED51-82A9-4A8C-8D8E-CBBFA8752F4C}"/>
    <tableStyle name="Slicer Style 2" pivot="0" table="0" count="1" xr9:uid="{19FD35CA-6085-4E25-96A2-3F2BD45548E4}">
      <tableStyleElement type="wholeTable" dxfId="579"/>
    </tableStyle>
    <tableStyle name="SlicerStyleLight1 2" pivot="0" table="0" count="10" xr9:uid="{7CBADDD0-7D94-4318-9983-D33373973575}">
      <tableStyleElement type="wholeTable" dxfId="578"/>
      <tableStyleElement type="headerRow" dxfId="577"/>
    </tableStyle>
    <tableStyle name="SlicerStyleLight1 2 2" pivot="0" table="0" count="10" xr9:uid="{7B05729C-1789-4F1F-A926-A802BA5A5E7C}">
      <tableStyleElement type="wholeTable" dxfId="576"/>
      <tableStyleElement type="headerRow" dxfId="575"/>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 Style 2"/>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9F956463-F2D4-493C-9870-C01FF2A1A7A9}" type="CELLRANGE">
                  <a:rPr lang="en-US"/>
                  <a:pPr>
                    <a:defRPr sz="800"/>
                  </a:pPr>
                  <a:t>[CELLRANGE]</a:t>
                </a:fld>
                <a:endParaRPr lang="en-IN"/>
              </a:p>
            </c:rich>
          </c:tx>
          <c:spPr>
            <a:noFill/>
            <a:ln>
              <a:noFill/>
            </a:ln>
            <a:effectLst/>
          </c:spPr>
          <c:txPr>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72715DA9-88BF-4067-8D31-23A91274FFFB}" type="CELLRANGE">
                  <a:rPr lang="en-US"/>
                  <a:pPr>
                    <a:defRPr sz="800"/>
                  </a:pPr>
                  <a:t>[CELLRANGE]</a:t>
                </a:fld>
                <a:endParaRPr lang="en-IN"/>
              </a:p>
            </c:rich>
          </c:tx>
          <c:spPr>
            <a:noFill/>
            <a:ln>
              <a:noFill/>
            </a:ln>
            <a:effectLst/>
          </c:spPr>
          <c:txPr>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dLbl>
              <c:idx val="0"/>
              <c:tx>
                <c:rich>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9F956463-F2D4-493C-9870-C01FF2A1A7A9}" type="CELLRANGE">
                      <a:rPr lang="en-US"/>
                      <a:pPr>
                        <a:defRPr sz="800"/>
                      </a:pPr>
                      <a:t>[CELLRANGE]</a:t>
                    </a:fld>
                    <a:endParaRPr lang="en-IN"/>
                  </a:p>
                </c:rich>
              </c:tx>
              <c:spPr>
                <a:noFill/>
                <a:ln>
                  <a:noFill/>
                </a:ln>
                <a:effectLst/>
              </c:spPr>
              <c:txPr>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dLbl>
              <c:idx val="1"/>
              <c:tx>
                <c:rich>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72715DA9-88BF-4067-8D31-23A91274FFFB}" type="CELLRANGE">
                      <a:rPr lang="en-US"/>
                      <a:pPr>
                        <a:defRPr sz="800"/>
                      </a:pPr>
                      <a:t>[CELLRANGE]</a:t>
                    </a:fld>
                    <a:endParaRPr lang="en-IN"/>
                  </a:p>
                </c:rich>
              </c:tx>
              <c:spPr>
                <a:noFill/>
                <a:ln>
                  <a:noFill/>
                </a:ln>
                <a:effectLst/>
              </c:spPr>
              <c:txPr>
                <a:bodyPr rot="0" spcFirstLastPara="1" vertOverflow="ellipsis" vert="horz" wrap="square" lIns="0" tIns="1905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spPr>
              <a:noFill/>
              <a:ln>
                <a:noFill/>
              </a:ln>
              <a:effectLst/>
            </c:spPr>
            <c:txPr>
              <a:bodyPr rot="0" spcFirstLastPara="1" vertOverflow="ellipsis"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224</c:v>
                </c:pt>
                <c:pt idx="1">
                  <c:v>207</c:v>
                </c:pt>
              </c:numCache>
            </c:numRef>
          </c:val>
          <c:extLst>
            <c:ext xmlns:c16="http://schemas.microsoft.com/office/drawing/2014/chart" uri="{C3380CC4-5D6E-409C-BE32-E72D297353CC}">
              <c16:uniqueId val="{00000007-6F7F-4FAE-91E1-932546919870}"/>
            </c:ext>
          </c:extLst>
        </c:ser>
        <c:ser>
          <c:idx val="1"/>
          <c:order val="1"/>
          <c:tx>
            <c:strRef>
              <c:f>'Pivot Report'!$C$41:$C$42</c:f>
              <c:strCache>
                <c:ptCount val="1"/>
                <c:pt idx="0">
                  <c:v>Count of Patient Admission Flag2</c:v>
                </c:pt>
              </c:strCache>
            </c:strRef>
          </c:tx>
          <c:spPr>
            <a:no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0.51972157772621808</c:v>
                </c:pt>
                <c:pt idx="1">
                  <c:v>0.48027842227378192</c:v>
                </c:pt>
              </c:numCache>
            </c:numRef>
          </c:val>
          <c:extLst>
            <c:ext xmlns:c16="http://schemas.microsoft.com/office/drawing/2014/chart" uri="{C3380CC4-5D6E-409C-BE32-E72D297353CC}">
              <c16:uniqueId val="{00000008-6F7F-4FAE-91E1-932546919870}"/>
            </c:ext>
          </c:extLst>
        </c:ser>
        <c:dLbls>
          <c:showLegendKey val="0"/>
          <c:showVal val="0"/>
          <c:showCatName val="0"/>
          <c:showSerName val="0"/>
          <c:showPercent val="0"/>
          <c:showBubbleSize val="0"/>
        </c:dLbls>
        <c:gapWidth val="0"/>
        <c:axId val="240177407"/>
        <c:axId val="240177823"/>
      </c:barChart>
      <c:catAx>
        <c:axId val="240177407"/>
        <c:scaling>
          <c:orientation val="minMax"/>
        </c:scaling>
        <c:delete val="1"/>
        <c:axPos val="l"/>
        <c:numFmt formatCode="General" sourceLinked="1"/>
        <c:majorTickMark val="none"/>
        <c:minorTickMark val="none"/>
        <c:tickLblPos val="nextTo"/>
        <c:crossAx val="240177823"/>
        <c:crosses val="autoZero"/>
        <c:auto val="1"/>
        <c:lblAlgn val="ctr"/>
        <c:lblOffset val="100"/>
        <c:noMultiLvlLbl val="0"/>
      </c:catAx>
      <c:valAx>
        <c:axId val="240177823"/>
        <c:scaling>
          <c:orientation val="minMax"/>
        </c:scaling>
        <c:delete val="1"/>
        <c:axPos val="b"/>
        <c:numFmt formatCode="0" sourceLinked="1"/>
        <c:majorTickMark val="none"/>
        <c:minorTickMark val="none"/>
        <c:tickLblPos val="nextTo"/>
        <c:crossAx val="24017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29351176164453E-2"/>
          <c:y val="6.3787388476498674E-2"/>
          <c:w val="0.85598409839281575"/>
          <c:h val="0.56976929900215489"/>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51A4-41F3-95AA-CE76702A7BC3}"/>
            </c:ext>
          </c:extLst>
        </c:ser>
        <c:dLbls>
          <c:showLegendKey val="0"/>
          <c:showVal val="0"/>
          <c:showCatName val="0"/>
          <c:showSerName val="0"/>
          <c:showPercent val="0"/>
          <c:showBubbleSize val="0"/>
        </c:dLbls>
        <c:axId val="724505247"/>
        <c:axId val="724509823"/>
      </c:areaChart>
      <c:catAx>
        <c:axId val="724505247"/>
        <c:scaling>
          <c:orientation val="minMax"/>
        </c:scaling>
        <c:delete val="1"/>
        <c:axPos val="b"/>
        <c:numFmt formatCode="General" sourceLinked="1"/>
        <c:majorTickMark val="out"/>
        <c:minorTickMark val="none"/>
        <c:tickLblPos val="nextTo"/>
        <c:crossAx val="724509823"/>
        <c:crosses val="autoZero"/>
        <c:auto val="1"/>
        <c:lblAlgn val="ctr"/>
        <c:lblOffset val="100"/>
        <c:noMultiLvlLbl val="0"/>
      </c:catAx>
      <c:valAx>
        <c:axId val="724509823"/>
        <c:scaling>
          <c:orientation val="minMax"/>
        </c:scaling>
        <c:delete val="1"/>
        <c:axPos val="l"/>
        <c:numFmt formatCode="General" sourceLinked="1"/>
        <c:majorTickMark val="none"/>
        <c:minorTickMark val="none"/>
        <c:tickLblPos val="nextTo"/>
        <c:crossAx val="7245052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433457260544551E-4"/>
          <c:w val="1"/>
          <c:h val="0.97843358067352626"/>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D4AA-4854-AAA1-DE3DE930123A}"/>
            </c:ext>
          </c:extLst>
        </c:ser>
        <c:dLbls>
          <c:showLegendKey val="0"/>
          <c:showVal val="0"/>
          <c:showCatName val="0"/>
          <c:showSerName val="0"/>
          <c:showPercent val="0"/>
          <c:showBubbleSize val="0"/>
        </c:dLbls>
        <c:axId val="724213519"/>
        <c:axId val="724217263"/>
      </c:areaChart>
      <c:catAx>
        <c:axId val="724213519"/>
        <c:scaling>
          <c:orientation val="minMax"/>
        </c:scaling>
        <c:delete val="1"/>
        <c:axPos val="b"/>
        <c:numFmt formatCode="General" sourceLinked="1"/>
        <c:majorTickMark val="out"/>
        <c:minorTickMark val="none"/>
        <c:tickLblPos val="nextTo"/>
        <c:crossAx val="724217263"/>
        <c:crosses val="autoZero"/>
        <c:auto val="1"/>
        <c:lblAlgn val="ctr"/>
        <c:lblOffset val="100"/>
        <c:noMultiLvlLbl val="0"/>
      </c:catAx>
      <c:valAx>
        <c:axId val="724217263"/>
        <c:scaling>
          <c:orientation val="minMax"/>
        </c:scaling>
        <c:delete val="1"/>
        <c:axPos val="l"/>
        <c:numFmt formatCode="0.00" sourceLinked="1"/>
        <c:majorTickMark val="none"/>
        <c:minorTickMark val="none"/>
        <c:tickLblPos val="nextTo"/>
        <c:crossAx val="724213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Report!PivotTable9</c:name>
    <c:fmtId val="2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4.1485421348121575E-2"/>
          <c:w val="1"/>
          <c:h val="0.92321993813796954"/>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2D29-4230-99E7-C94D4B333EBE}"/>
            </c:ext>
          </c:extLst>
        </c:ser>
        <c:dLbls>
          <c:showLegendKey val="0"/>
          <c:showVal val="0"/>
          <c:showCatName val="0"/>
          <c:showSerName val="0"/>
          <c:showPercent val="0"/>
          <c:showBubbleSize val="0"/>
        </c:dLbls>
        <c:axId val="1865417807"/>
        <c:axId val="1865414479"/>
      </c:areaChart>
      <c:catAx>
        <c:axId val="1865417807"/>
        <c:scaling>
          <c:orientation val="minMax"/>
        </c:scaling>
        <c:delete val="1"/>
        <c:axPos val="b"/>
        <c:numFmt formatCode="General" sourceLinked="1"/>
        <c:majorTickMark val="out"/>
        <c:minorTickMark val="none"/>
        <c:tickLblPos val="nextTo"/>
        <c:crossAx val="1865414479"/>
        <c:crosses val="autoZero"/>
        <c:auto val="1"/>
        <c:lblAlgn val="ctr"/>
        <c:lblOffset val="100"/>
        <c:noMultiLvlLbl val="0"/>
      </c:catAx>
      <c:valAx>
        <c:axId val="1865414479"/>
        <c:scaling>
          <c:orientation val="minMax"/>
        </c:scaling>
        <c:delete val="1"/>
        <c:axPos val="l"/>
        <c:numFmt formatCode="0.00" sourceLinked="1"/>
        <c:majorTickMark val="none"/>
        <c:minorTickMark val="none"/>
        <c:tickLblPos val="nextTo"/>
        <c:crossAx val="1865417807"/>
        <c:crosses val="autoZero"/>
        <c:crossBetween val="midCat"/>
      </c:valAx>
      <c:spPr>
        <a:noFill/>
        <a:ln>
          <a:noFill/>
        </a:ln>
        <a:effectLst/>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38496872683677E-2"/>
          <c:y val="5.9090930240132511E-2"/>
          <c:w val="0.9193230062546327"/>
          <c:h val="0.59583850960576579"/>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38</c:v>
                </c:pt>
                <c:pt idx="1">
                  <c:v>45</c:v>
                </c:pt>
                <c:pt idx="2">
                  <c:v>54</c:v>
                </c:pt>
                <c:pt idx="3">
                  <c:v>65</c:v>
                </c:pt>
                <c:pt idx="4">
                  <c:v>65</c:v>
                </c:pt>
                <c:pt idx="5">
                  <c:v>53</c:v>
                </c:pt>
                <c:pt idx="6">
                  <c:v>45</c:v>
                </c:pt>
                <c:pt idx="7">
                  <c:v>66</c:v>
                </c:pt>
              </c:numCache>
            </c:numRef>
          </c:val>
          <c:extLst>
            <c:ext xmlns:c16="http://schemas.microsoft.com/office/drawing/2014/chart" uri="{C3380CC4-5D6E-409C-BE32-E72D297353CC}">
              <c16:uniqueId val="{00000001-9808-432C-9D99-5AB34049232E}"/>
            </c:ext>
          </c:extLst>
        </c:ser>
        <c:dLbls>
          <c:showLegendKey val="0"/>
          <c:showVal val="0"/>
          <c:showCatName val="0"/>
          <c:showSerName val="0"/>
          <c:showPercent val="0"/>
          <c:showBubbleSize val="0"/>
        </c:dLbls>
        <c:gapWidth val="219"/>
        <c:overlap val="-27"/>
        <c:axId val="1915711616"/>
        <c:axId val="1915713280"/>
      </c:barChart>
      <c:catAx>
        <c:axId val="191571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13280"/>
        <c:crosses val="autoZero"/>
        <c:auto val="1"/>
        <c:lblAlgn val="ctr"/>
        <c:lblOffset val="100"/>
        <c:noMultiLvlLbl val="0"/>
      </c:catAx>
      <c:valAx>
        <c:axId val="1915713280"/>
        <c:scaling>
          <c:orientation val="minMax"/>
        </c:scaling>
        <c:delete val="1"/>
        <c:axPos val="l"/>
        <c:numFmt formatCode="0" sourceLinked="1"/>
        <c:majorTickMark val="none"/>
        <c:minorTickMark val="none"/>
        <c:tickLblPos val="nextTo"/>
        <c:crossAx val="191571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147958414729211"/>
          <c:y val="0.1326530612244898"/>
          <c:w val="0.62592005284332108"/>
          <c:h val="0.69740398521613367"/>
        </c:manualLayout>
      </c:layout>
      <c:pieChart>
        <c:varyColors val="1"/>
        <c:ser>
          <c:idx val="0"/>
          <c:order val="0"/>
          <c:tx>
            <c:strRef>
              <c:f>'Pivot Report'!$F$50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Report'!$E$51:$E$53</c:f>
              <c:strCache>
                <c:ptCount val="2"/>
                <c:pt idx="0">
                  <c:v>Delay</c:v>
                </c:pt>
                <c:pt idx="1">
                  <c:v>Ontime</c:v>
                </c:pt>
              </c:strCache>
            </c:strRef>
          </c:cat>
          <c:val>
            <c:numRef>
              <c:f>'Pivot Report'!$F$51:$F$53</c:f>
              <c:numCache>
                <c:formatCode>0</c:formatCode>
                <c:ptCount val="2"/>
                <c:pt idx="0">
                  <c:v>283</c:v>
                </c:pt>
                <c:pt idx="1">
                  <c:v>148</c:v>
                </c:pt>
              </c:numCache>
            </c:numRef>
          </c:val>
          <c:extLst>
            <c:ext xmlns:c16="http://schemas.microsoft.com/office/drawing/2014/chart" uri="{C3380CC4-5D6E-409C-BE32-E72D297353CC}">
              <c16:uniqueId val="{00000005-2824-4ABB-A970-E5F089A5CDF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1.8705728034290468E-3"/>
          <c:y val="8.8928169693074082E-3"/>
          <c:w val="0.35697526240108834"/>
          <c:h val="0.3187064977043040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Report!PivotTable10</c:name>
    <c:fmtId val="1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68929970710184"/>
          <c:y val="0.12856000329801706"/>
          <c:w val="0.66678762980714357"/>
          <c:h val="0.72264418518365825"/>
        </c:manualLayout>
      </c:layout>
      <c:doughnutChart>
        <c:varyColors val="1"/>
        <c:ser>
          <c:idx val="0"/>
          <c:order val="0"/>
          <c:tx>
            <c:strRef>
              <c:f>'Pivot Report'!$B$62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Female</c:v>
                </c:pt>
                <c:pt idx="1">
                  <c:v>Male</c:v>
                </c:pt>
              </c:strCache>
            </c:strRef>
          </c:cat>
          <c:val>
            <c:numRef>
              <c:f>'Pivot Report'!$B$63:$B$65</c:f>
              <c:numCache>
                <c:formatCode>0.00</c:formatCode>
                <c:ptCount val="2"/>
                <c:pt idx="0">
                  <c:v>194</c:v>
                </c:pt>
                <c:pt idx="1">
                  <c:v>237</c:v>
                </c:pt>
              </c:numCache>
            </c:numRef>
          </c:val>
          <c:extLst>
            <c:ext xmlns:c16="http://schemas.microsoft.com/office/drawing/2014/chart" uri="{C3380CC4-5D6E-409C-BE32-E72D297353CC}">
              <c16:uniqueId val="{00000005-CFB1-4E30-A6F5-FB56B1E9F1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5085378464188348E-2"/>
          <c:y val="9.8371604073051074E-3"/>
          <c:w val="0.36221711086918945"/>
          <c:h val="0.3271770283002579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27333545715199"/>
          <c:y val="5.6826571567921175E-2"/>
          <c:w val="0.67303452088255122"/>
          <c:h val="0.82140220364367633"/>
        </c:manualLayout>
      </c:layout>
      <c:barChart>
        <c:barDir val="bar"/>
        <c:grouping val="clustered"/>
        <c:varyColors val="0"/>
        <c:ser>
          <c:idx val="0"/>
          <c:order val="0"/>
          <c:tx>
            <c:strRef>
              <c:f>'Pivot Report'!$F$62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Report'!$E$63:$E$71</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Report'!$F$63:$F$71</c:f>
              <c:numCache>
                <c:formatCode>0.00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1-87A3-4940-93D5-A783AF8A13E0}"/>
            </c:ext>
          </c:extLst>
        </c:ser>
        <c:dLbls>
          <c:showLegendKey val="0"/>
          <c:showVal val="0"/>
          <c:showCatName val="0"/>
          <c:showSerName val="0"/>
          <c:showPercent val="0"/>
          <c:showBubbleSize val="0"/>
        </c:dLbls>
        <c:gapWidth val="67"/>
        <c:axId val="559703856"/>
        <c:axId val="559700944"/>
      </c:barChart>
      <c:catAx>
        <c:axId val="55970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59700944"/>
        <c:crosses val="autoZero"/>
        <c:auto val="1"/>
        <c:lblAlgn val="ctr"/>
        <c:lblOffset val="100"/>
        <c:noMultiLvlLbl val="0"/>
      </c:catAx>
      <c:valAx>
        <c:axId val="559700944"/>
        <c:scaling>
          <c:orientation val="minMax"/>
        </c:scaling>
        <c:delete val="1"/>
        <c:axPos val="b"/>
        <c:numFmt formatCode="0.00" sourceLinked="1"/>
        <c:majorTickMark val="none"/>
        <c:minorTickMark val="none"/>
        <c:tickLblPos val="nextTo"/>
        <c:crossAx val="55970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Report!PivotTable6</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46993423574864E-2"/>
          <c:y val="6.4646464646464646E-2"/>
          <c:w val="0.91879840160429382"/>
          <c:h val="0.80687123200509026"/>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6568-4277-A8F0-EA2951AF9B9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4598863"/>
        <c:axId val="684599279"/>
      </c:areaChart>
      <c:catAx>
        <c:axId val="6845988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4599279"/>
        <c:crosses val="autoZero"/>
        <c:auto val="1"/>
        <c:lblAlgn val="ctr"/>
        <c:lblOffset val="100"/>
        <c:noMultiLvlLbl val="0"/>
      </c:catAx>
      <c:valAx>
        <c:axId val="684599279"/>
        <c:scaling>
          <c:orientation val="minMax"/>
        </c:scaling>
        <c:delete val="1"/>
        <c:axPos val="l"/>
        <c:numFmt formatCode="General" sourceLinked="1"/>
        <c:majorTickMark val="out"/>
        <c:minorTickMark val="none"/>
        <c:tickLblPos val="nextTo"/>
        <c:crossAx val="6845988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148487149766178"/>
          <c:w val="1"/>
          <c:h val="0.79851512850233819"/>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8189-4A80-84ED-4E490B95A9C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4213519"/>
        <c:axId val="724217263"/>
      </c:areaChart>
      <c:catAx>
        <c:axId val="724213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4217263"/>
        <c:crosses val="autoZero"/>
        <c:auto val="1"/>
        <c:lblAlgn val="ctr"/>
        <c:lblOffset val="100"/>
        <c:noMultiLvlLbl val="0"/>
      </c:catAx>
      <c:valAx>
        <c:axId val="724217263"/>
        <c:scaling>
          <c:orientation val="minMax"/>
        </c:scaling>
        <c:delete val="1"/>
        <c:axPos val="l"/>
        <c:numFmt formatCode="0.00" sourceLinked="1"/>
        <c:majorTickMark val="out"/>
        <c:minorTickMark val="none"/>
        <c:tickLblPos val="nextTo"/>
        <c:crossAx val="724213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 Report!PivotTable9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176C-456C-A2B5-7F416003B74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65417807"/>
        <c:axId val="1865414479"/>
      </c:areaChart>
      <c:catAx>
        <c:axId val="18654178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5414479"/>
        <c:crosses val="autoZero"/>
        <c:auto val="1"/>
        <c:lblAlgn val="ctr"/>
        <c:lblOffset val="100"/>
        <c:noMultiLvlLbl val="0"/>
      </c:catAx>
      <c:valAx>
        <c:axId val="1865414479"/>
        <c:scaling>
          <c:orientation val="minMax"/>
        </c:scaling>
        <c:delete val="1"/>
        <c:axPos val="l"/>
        <c:numFmt formatCode="0.00" sourceLinked="1"/>
        <c:majorTickMark val="out"/>
        <c:minorTickMark val="none"/>
        <c:tickLblPos val="nextTo"/>
        <c:crossAx val="1865417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552450</xdr:colOff>
      <xdr:row>43</xdr:row>
      <xdr:rowOff>171450</xdr:rowOff>
    </xdr:from>
    <xdr:to>
      <xdr:col>3</xdr:col>
      <xdr:colOff>1746250</xdr:colOff>
      <xdr:row>47</xdr:row>
      <xdr:rowOff>107950</xdr:rowOff>
    </xdr:to>
    <xdr:graphicFrame macro="">
      <xdr:nvGraphicFramePr>
        <xdr:cNvPr id="2" name="Chart 1">
          <a:extLst>
            <a:ext uri="{FF2B5EF4-FFF2-40B4-BE49-F238E27FC236}">
              <a16:creationId xmlns:a16="http://schemas.microsoft.com/office/drawing/2014/main" id="{18CCBF54-09D1-4D67-80C0-A1F663DE0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297962</xdr:colOff>
      <xdr:row>0</xdr:row>
      <xdr:rowOff>73270</xdr:rowOff>
    </xdr:from>
    <xdr:to>
      <xdr:col>5</xdr:col>
      <xdr:colOff>24423</xdr:colOff>
      <xdr:row>3</xdr:row>
      <xdr:rowOff>19539</xdr:rowOff>
    </xdr:to>
    <xdr:sp macro="" textlink="">
      <xdr:nvSpPr>
        <xdr:cNvPr id="2" name="Rectangle: Rounded Corners 1">
          <a:extLst>
            <a:ext uri="{FF2B5EF4-FFF2-40B4-BE49-F238E27FC236}">
              <a16:creationId xmlns:a16="http://schemas.microsoft.com/office/drawing/2014/main" id="{2703BB5D-BEE1-4F74-814A-36EC72CAA599}"/>
            </a:ext>
          </a:extLst>
        </xdr:cNvPr>
        <xdr:cNvSpPr/>
      </xdr:nvSpPr>
      <xdr:spPr>
        <a:xfrm>
          <a:off x="297962" y="73270"/>
          <a:ext cx="2779346" cy="503115"/>
        </a:xfrm>
        <a:prstGeom prst="roundRect">
          <a:avLst>
            <a:gd name="adj" fmla="val 21521"/>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solidFill>
                <a:schemeClr val="tx1"/>
              </a:solidFill>
            </a:rPr>
            <a:t>                    </a:t>
          </a:r>
          <a:r>
            <a:rPr lang="en-IN" sz="1100" b="1">
              <a:solidFill>
                <a:schemeClr val="tx1"/>
              </a:solidFill>
            </a:rPr>
            <a:t>Hospital</a:t>
          </a:r>
          <a:r>
            <a:rPr lang="en-IN" sz="1100" b="1" baseline="0">
              <a:solidFill>
                <a:schemeClr val="tx1"/>
              </a:solidFill>
            </a:rPr>
            <a:t> Emergency Dashboard</a:t>
          </a:r>
        </a:p>
        <a:p>
          <a:pPr algn="l"/>
          <a:r>
            <a:rPr lang="en-IN" sz="1100" b="1">
              <a:solidFill>
                <a:schemeClr val="tx1"/>
              </a:solidFill>
              <a:effectLst/>
              <a:latin typeface="+mn-lt"/>
              <a:ea typeface="+mn-ea"/>
              <a:cs typeface="+mn-cs"/>
            </a:rPr>
            <a:t>                                </a:t>
          </a:r>
          <a:r>
            <a:rPr lang="en-IN" sz="1100" b="0">
              <a:solidFill>
                <a:schemeClr val="tx1"/>
              </a:solidFill>
              <a:effectLst/>
              <a:latin typeface="+mn-lt"/>
              <a:ea typeface="+mn-ea"/>
              <a:cs typeface="+mn-cs"/>
            </a:rPr>
            <a:t>Monthly Report</a:t>
          </a:r>
          <a:endParaRPr lang="en-IN" sz="1100" b="0">
            <a:solidFill>
              <a:schemeClr val="tx1"/>
            </a:solidFill>
          </a:endParaRPr>
        </a:p>
      </xdr:txBody>
    </xdr:sp>
    <xdr:clientData/>
  </xdr:twoCellAnchor>
  <xdr:twoCellAnchor>
    <xdr:from>
      <xdr:col>5</xdr:col>
      <xdr:colOff>151422</xdr:colOff>
      <xdr:row>0</xdr:row>
      <xdr:rowOff>68384</xdr:rowOff>
    </xdr:from>
    <xdr:to>
      <xdr:col>7</xdr:col>
      <xdr:colOff>351693</xdr:colOff>
      <xdr:row>3</xdr:row>
      <xdr:rowOff>24423</xdr:rowOff>
    </xdr:to>
    <xdr:sp macro="" textlink="">
      <xdr:nvSpPr>
        <xdr:cNvPr id="3" name="Rectangle: Rounded Corners 2">
          <a:extLst>
            <a:ext uri="{FF2B5EF4-FFF2-40B4-BE49-F238E27FC236}">
              <a16:creationId xmlns:a16="http://schemas.microsoft.com/office/drawing/2014/main" id="{529594DF-D017-4CE3-8B2C-C966B8BAD6AC}"/>
            </a:ext>
          </a:extLst>
        </xdr:cNvPr>
        <xdr:cNvSpPr/>
      </xdr:nvSpPr>
      <xdr:spPr>
        <a:xfrm>
          <a:off x="3204307" y="68384"/>
          <a:ext cx="1421424" cy="51288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454270</xdr:colOff>
      <xdr:row>0</xdr:row>
      <xdr:rowOff>63500</xdr:rowOff>
    </xdr:from>
    <xdr:to>
      <xdr:col>10</xdr:col>
      <xdr:colOff>29309</xdr:colOff>
      <xdr:row>7</xdr:row>
      <xdr:rowOff>34192</xdr:rowOff>
    </xdr:to>
    <xdr:sp macro="" textlink="">
      <xdr:nvSpPr>
        <xdr:cNvPr id="4" name="Rectangle: Rounded Corners 3">
          <a:extLst>
            <a:ext uri="{FF2B5EF4-FFF2-40B4-BE49-F238E27FC236}">
              <a16:creationId xmlns:a16="http://schemas.microsoft.com/office/drawing/2014/main" id="{8AB70AFA-01C9-469C-AF6B-A32491C298CD}"/>
            </a:ext>
          </a:extLst>
        </xdr:cNvPr>
        <xdr:cNvSpPr/>
      </xdr:nvSpPr>
      <xdr:spPr>
        <a:xfrm>
          <a:off x="4721470" y="63500"/>
          <a:ext cx="1403839" cy="1259742"/>
        </a:xfrm>
        <a:prstGeom prst="roundRect">
          <a:avLst>
            <a:gd name="adj" fmla="val 4569"/>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146538</xdr:colOff>
      <xdr:row>0</xdr:row>
      <xdr:rowOff>53731</xdr:rowOff>
    </xdr:from>
    <xdr:to>
      <xdr:col>12</xdr:col>
      <xdr:colOff>273538</xdr:colOff>
      <xdr:row>7</xdr:row>
      <xdr:rowOff>29308</xdr:rowOff>
    </xdr:to>
    <xdr:sp macro="" textlink="">
      <xdr:nvSpPr>
        <xdr:cNvPr id="5" name="Rectangle: Rounded Corners 4">
          <a:extLst>
            <a:ext uri="{FF2B5EF4-FFF2-40B4-BE49-F238E27FC236}">
              <a16:creationId xmlns:a16="http://schemas.microsoft.com/office/drawing/2014/main" id="{4EBEC4AD-39B9-4858-A388-B5746B5EE1EA}"/>
            </a:ext>
          </a:extLst>
        </xdr:cNvPr>
        <xdr:cNvSpPr/>
      </xdr:nvSpPr>
      <xdr:spPr>
        <a:xfrm>
          <a:off x="6231955" y="53731"/>
          <a:ext cx="1344083" cy="1272035"/>
        </a:xfrm>
        <a:prstGeom prst="roundRect">
          <a:avLst>
            <a:gd name="adj" fmla="val 3771"/>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3"/>
              </a:solidFill>
            </a:ln>
          </a:endParaRPr>
        </a:p>
      </xdr:txBody>
    </xdr:sp>
    <xdr:clientData/>
  </xdr:twoCellAnchor>
  <xdr:twoCellAnchor>
    <xdr:from>
      <xdr:col>0</xdr:col>
      <xdr:colOff>288598</xdr:colOff>
      <xdr:row>3</xdr:row>
      <xdr:rowOff>97693</xdr:rowOff>
    </xdr:from>
    <xdr:to>
      <xdr:col>1</xdr:col>
      <xdr:colOff>470957</xdr:colOff>
      <xdr:row>16</xdr:row>
      <xdr:rowOff>117231</xdr:rowOff>
    </xdr:to>
    <xdr:sp macro="" textlink="">
      <xdr:nvSpPr>
        <xdr:cNvPr id="6" name="Rectangle: Rounded Corners 5">
          <a:extLst>
            <a:ext uri="{FF2B5EF4-FFF2-40B4-BE49-F238E27FC236}">
              <a16:creationId xmlns:a16="http://schemas.microsoft.com/office/drawing/2014/main" id="{14C5D305-D1C1-42F0-8743-BBCB14918477}"/>
            </a:ext>
          </a:extLst>
        </xdr:cNvPr>
        <xdr:cNvSpPr/>
      </xdr:nvSpPr>
      <xdr:spPr>
        <a:xfrm>
          <a:off x="288598" y="653318"/>
          <a:ext cx="790901" cy="2427246"/>
        </a:xfrm>
        <a:prstGeom prst="roundRect">
          <a:avLst>
            <a:gd name="adj" fmla="val 8779"/>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534091</xdr:colOff>
      <xdr:row>3</xdr:row>
      <xdr:rowOff>103909</xdr:rowOff>
    </xdr:from>
    <xdr:to>
      <xdr:col>3</xdr:col>
      <xdr:colOff>377783</xdr:colOff>
      <xdr:row>7</xdr:row>
      <xdr:rowOff>89144</xdr:rowOff>
    </xdr:to>
    <xdr:sp macro="" textlink="">
      <xdr:nvSpPr>
        <xdr:cNvPr id="7" name="Rectangle: Rounded Corners 6">
          <a:extLst>
            <a:ext uri="{FF2B5EF4-FFF2-40B4-BE49-F238E27FC236}">
              <a16:creationId xmlns:a16="http://schemas.microsoft.com/office/drawing/2014/main" id="{2EB3DCBA-6508-4BEF-AA09-3678591D27AA}"/>
            </a:ext>
          </a:extLst>
        </xdr:cNvPr>
        <xdr:cNvSpPr/>
      </xdr:nvSpPr>
      <xdr:spPr>
        <a:xfrm>
          <a:off x="1146000" y="658091"/>
          <a:ext cx="1067510" cy="724144"/>
        </a:xfrm>
        <a:prstGeom prst="roundRect">
          <a:avLst>
            <a:gd name="adj" fmla="val 2557"/>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467294</xdr:colOff>
      <xdr:row>3</xdr:row>
      <xdr:rowOff>111125</xdr:rowOff>
    </xdr:from>
    <xdr:to>
      <xdr:col>5</xdr:col>
      <xdr:colOff>359834</xdr:colOff>
      <xdr:row>7</xdr:row>
      <xdr:rowOff>95249</xdr:rowOff>
    </xdr:to>
    <xdr:sp macro="" textlink="">
      <xdr:nvSpPr>
        <xdr:cNvPr id="8" name="Rectangle: Rounded Corners 7">
          <a:extLst>
            <a:ext uri="{FF2B5EF4-FFF2-40B4-BE49-F238E27FC236}">
              <a16:creationId xmlns:a16="http://schemas.microsoft.com/office/drawing/2014/main" id="{D10DAA67-90FA-412C-B93F-20A1BF8C4071}"/>
            </a:ext>
          </a:extLst>
        </xdr:cNvPr>
        <xdr:cNvSpPr/>
      </xdr:nvSpPr>
      <xdr:spPr>
        <a:xfrm>
          <a:off x="2292919" y="666750"/>
          <a:ext cx="1109623" cy="724957"/>
        </a:xfrm>
        <a:prstGeom prst="roundRect">
          <a:avLst>
            <a:gd name="adj" fmla="val 552"/>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429846</xdr:colOff>
      <xdr:row>3</xdr:row>
      <xdr:rowOff>112347</xdr:rowOff>
    </xdr:from>
    <xdr:to>
      <xdr:col>7</xdr:col>
      <xdr:colOff>341924</xdr:colOff>
      <xdr:row>7</xdr:row>
      <xdr:rowOff>75046</xdr:rowOff>
    </xdr:to>
    <xdr:sp macro="" textlink="">
      <xdr:nvSpPr>
        <xdr:cNvPr id="9" name="Rectangle: Rounded Corners 8">
          <a:extLst>
            <a:ext uri="{FF2B5EF4-FFF2-40B4-BE49-F238E27FC236}">
              <a16:creationId xmlns:a16="http://schemas.microsoft.com/office/drawing/2014/main" id="{1E7BD995-E378-445F-A016-FF1E716A2630}"/>
            </a:ext>
          </a:extLst>
        </xdr:cNvPr>
        <xdr:cNvSpPr/>
      </xdr:nvSpPr>
      <xdr:spPr>
        <a:xfrm>
          <a:off x="3489391" y="666529"/>
          <a:ext cx="1135897" cy="701608"/>
        </a:xfrm>
        <a:prstGeom prst="roundRect">
          <a:avLst>
            <a:gd name="adj" fmla="val 1257"/>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537308</xdr:colOff>
      <xdr:row>7</xdr:row>
      <xdr:rowOff>180729</xdr:rowOff>
    </xdr:from>
    <xdr:to>
      <xdr:col>7</xdr:col>
      <xdr:colOff>356577</xdr:colOff>
      <xdr:row>10</xdr:row>
      <xdr:rowOff>78154</xdr:rowOff>
    </xdr:to>
    <xdr:sp macro="" textlink="">
      <xdr:nvSpPr>
        <xdr:cNvPr id="15" name="Rectangle: Rounded Corners 14">
          <a:extLst>
            <a:ext uri="{FF2B5EF4-FFF2-40B4-BE49-F238E27FC236}">
              <a16:creationId xmlns:a16="http://schemas.microsoft.com/office/drawing/2014/main" id="{03DFC98F-F51E-4A42-A465-D3563A76A8BE}"/>
            </a:ext>
          </a:extLst>
        </xdr:cNvPr>
        <xdr:cNvSpPr/>
      </xdr:nvSpPr>
      <xdr:spPr>
        <a:xfrm>
          <a:off x="1147885" y="1480037"/>
          <a:ext cx="3482730" cy="454271"/>
        </a:xfrm>
        <a:prstGeom prst="roundRect">
          <a:avLst>
            <a:gd name="adj" fmla="val 5914"/>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537308</xdr:colOff>
      <xdr:row>10</xdr:row>
      <xdr:rowOff>146537</xdr:rowOff>
    </xdr:from>
    <xdr:to>
      <xdr:col>7</xdr:col>
      <xdr:colOff>356577</xdr:colOff>
      <xdr:row>16</xdr:row>
      <xdr:rowOff>127000</xdr:rowOff>
    </xdr:to>
    <xdr:sp macro="" textlink="">
      <xdr:nvSpPr>
        <xdr:cNvPr id="16" name="Rectangle: Rounded Corners 15">
          <a:extLst>
            <a:ext uri="{FF2B5EF4-FFF2-40B4-BE49-F238E27FC236}">
              <a16:creationId xmlns:a16="http://schemas.microsoft.com/office/drawing/2014/main" id="{8EBF7B08-9968-4017-B9A2-BDDFD57812D6}"/>
            </a:ext>
          </a:extLst>
        </xdr:cNvPr>
        <xdr:cNvSpPr/>
      </xdr:nvSpPr>
      <xdr:spPr>
        <a:xfrm>
          <a:off x="1147885" y="2002691"/>
          <a:ext cx="3482730" cy="1094155"/>
        </a:xfrm>
        <a:prstGeom prst="roundRect">
          <a:avLst>
            <a:gd name="adj" fmla="val 4167"/>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444501</xdr:colOff>
      <xdr:row>7</xdr:row>
      <xdr:rowOff>180729</xdr:rowOff>
    </xdr:from>
    <xdr:to>
      <xdr:col>12</xdr:col>
      <xdr:colOff>293077</xdr:colOff>
      <xdr:row>16</xdr:row>
      <xdr:rowOff>127000</xdr:rowOff>
    </xdr:to>
    <xdr:sp macro="" textlink="">
      <xdr:nvSpPr>
        <xdr:cNvPr id="17" name="Rectangle: Rounded Corners 16">
          <a:extLst>
            <a:ext uri="{FF2B5EF4-FFF2-40B4-BE49-F238E27FC236}">
              <a16:creationId xmlns:a16="http://schemas.microsoft.com/office/drawing/2014/main" id="{AE3EC7F1-1D09-48D4-B559-B4C14D2BF069}"/>
            </a:ext>
          </a:extLst>
        </xdr:cNvPr>
        <xdr:cNvSpPr/>
      </xdr:nvSpPr>
      <xdr:spPr>
        <a:xfrm>
          <a:off x="4727865" y="1473820"/>
          <a:ext cx="2908121" cy="1608816"/>
        </a:xfrm>
        <a:prstGeom prst="roundRect">
          <a:avLst>
            <a:gd name="adj" fmla="val 6590"/>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356576</xdr:colOff>
      <xdr:row>2</xdr:row>
      <xdr:rowOff>63500</xdr:rowOff>
    </xdr:from>
    <xdr:to>
      <xdr:col>6</xdr:col>
      <xdr:colOff>381000</xdr:colOff>
      <xdr:row>2</xdr:row>
      <xdr:rowOff>63500</xdr:rowOff>
    </xdr:to>
    <xdr:cxnSp macro="">
      <xdr:nvCxnSpPr>
        <xdr:cNvPr id="21" name="Straight Connector 20">
          <a:extLst>
            <a:ext uri="{FF2B5EF4-FFF2-40B4-BE49-F238E27FC236}">
              <a16:creationId xmlns:a16="http://schemas.microsoft.com/office/drawing/2014/main" id="{DA5B7CF1-A493-47B7-A37B-DC22F7933113}"/>
            </a:ext>
          </a:extLst>
        </xdr:cNvPr>
        <xdr:cNvCxnSpPr/>
      </xdr:nvCxnSpPr>
      <xdr:spPr>
        <a:xfrm>
          <a:off x="4020038" y="434731"/>
          <a:ext cx="2442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503114</xdr:colOff>
      <xdr:row>0</xdr:row>
      <xdr:rowOff>107461</xdr:rowOff>
    </xdr:from>
    <xdr:to>
      <xdr:col>1</xdr:col>
      <xdr:colOff>327268</xdr:colOff>
      <xdr:row>2</xdr:row>
      <xdr:rowOff>170961</xdr:rowOff>
    </xdr:to>
    <xdr:pic>
      <xdr:nvPicPr>
        <xdr:cNvPr id="38" name="Picture 37">
          <a:extLst>
            <a:ext uri="{FF2B5EF4-FFF2-40B4-BE49-F238E27FC236}">
              <a16:creationId xmlns:a16="http://schemas.microsoft.com/office/drawing/2014/main" id="{54E1A413-D1C9-4FC0-A683-32109AA40A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114" y="107461"/>
          <a:ext cx="434731" cy="434731"/>
        </a:xfrm>
        <a:prstGeom prst="rect">
          <a:avLst/>
        </a:prstGeom>
      </xdr:spPr>
    </xdr:pic>
    <xdr:clientData/>
  </xdr:twoCellAnchor>
  <xdr:twoCellAnchor editAs="absolute">
    <xdr:from>
      <xdr:col>2</xdr:col>
      <xdr:colOff>109742</xdr:colOff>
      <xdr:row>4</xdr:row>
      <xdr:rowOff>168520</xdr:rowOff>
    </xdr:from>
    <xdr:to>
      <xdr:col>3</xdr:col>
      <xdr:colOff>307324</xdr:colOff>
      <xdr:row>6</xdr:row>
      <xdr:rowOff>7730</xdr:rowOff>
    </xdr:to>
    <xdr:sp macro="" textlink="">
      <xdr:nvSpPr>
        <xdr:cNvPr id="39" name="TextBox 38">
          <a:extLst>
            <a:ext uri="{FF2B5EF4-FFF2-40B4-BE49-F238E27FC236}">
              <a16:creationId xmlns:a16="http://schemas.microsoft.com/office/drawing/2014/main" id="{87321D27-2A33-45C5-95A9-1E5B8FBA09FE}"/>
            </a:ext>
          </a:extLst>
        </xdr:cNvPr>
        <xdr:cNvSpPr txBox="1"/>
      </xdr:nvSpPr>
      <xdr:spPr>
        <a:xfrm>
          <a:off x="1326825" y="909353"/>
          <a:ext cx="806124" cy="209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No.</a:t>
          </a:r>
          <a:r>
            <a:rPr lang="en-IN" sz="1000" baseline="0"/>
            <a:t> of Patient</a:t>
          </a:r>
          <a:endParaRPr lang="en-IN" sz="1000"/>
        </a:p>
      </xdr:txBody>
    </xdr:sp>
    <xdr:clientData/>
  </xdr:twoCellAnchor>
  <xdr:twoCellAnchor editAs="absolute">
    <xdr:from>
      <xdr:col>2</xdr:col>
      <xdr:colOff>335150</xdr:colOff>
      <xdr:row>3</xdr:row>
      <xdr:rowOff>150943</xdr:rowOff>
    </xdr:from>
    <xdr:to>
      <xdr:col>3</xdr:col>
      <xdr:colOff>105573</xdr:colOff>
      <xdr:row>4</xdr:row>
      <xdr:rowOff>175363</xdr:rowOff>
    </xdr:to>
    <xdr:sp macro="" textlink="'Pivot Report'!A5">
      <xdr:nvSpPr>
        <xdr:cNvPr id="41" name="TextBox 40">
          <a:extLst>
            <a:ext uri="{FF2B5EF4-FFF2-40B4-BE49-F238E27FC236}">
              <a16:creationId xmlns:a16="http://schemas.microsoft.com/office/drawing/2014/main" id="{60EF8E81-E0BD-412A-B70A-EC1A37DC59F7}"/>
            </a:ext>
          </a:extLst>
        </xdr:cNvPr>
        <xdr:cNvSpPr txBox="1"/>
      </xdr:nvSpPr>
      <xdr:spPr>
        <a:xfrm>
          <a:off x="1558968" y="705125"/>
          <a:ext cx="382332" cy="20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733E434-85C6-41A6-B24C-971012A1F392}" type="TxLink">
            <a:rPr lang="en-US" sz="1100" b="0" i="0" u="none" strike="noStrike">
              <a:solidFill>
                <a:srgbClr val="000000"/>
              </a:solidFill>
              <a:latin typeface="Calibri"/>
              <a:ea typeface="Calibri"/>
              <a:cs typeface="Calibri"/>
            </a:rPr>
            <a:pPr/>
            <a:t>431</a:t>
          </a:fld>
          <a:endParaRPr lang="en-IN" sz="900"/>
        </a:p>
      </xdr:txBody>
    </xdr:sp>
    <xdr:clientData/>
  </xdr:twoCellAnchor>
  <xdr:twoCellAnchor editAs="absolute">
    <xdr:from>
      <xdr:col>3</xdr:col>
      <xdr:colOff>545042</xdr:colOff>
      <xdr:row>4</xdr:row>
      <xdr:rowOff>179918</xdr:rowOff>
    </xdr:from>
    <xdr:to>
      <xdr:col>5</xdr:col>
      <xdr:colOff>369196</xdr:colOff>
      <xdr:row>6</xdr:row>
      <xdr:rowOff>19128</xdr:rowOff>
    </xdr:to>
    <xdr:sp macro="" textlink="">
      <xdr:nvSpPr>
        <xdr:cNvPr id="42" name="TextBox 41">
          <a:extLst>
            <a:ext uri="{FF2B5EF4-FFF2-40B4-BE49-F238E27FC236}">
              <a16:creationId xmlns:a16="http://schemas.microsoft.com/office/drawing/2014/main" id="{924AF528-A207-4EF7-832C-04CEA1F4454C}"/>
            </a:ext>
          </a:extLst>
        </xdr:cNvPr>
        <xdr:cNvSpPr txBox="1"/>
      </xdr:nvSpPr>
      <xdr:spPr>
        <a:xfrm>
          <a:off x="2370667" y="920751"/>
          <a:ext cx="1041237" cy="209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Average</a:t>
          </a:r>
          <a:r>
            <a:rPr lang="en-IN" sz="1000" baseline="0"/>
            <a:t> Waittime</a:t>
          </a:r>
          <a:endParaRPr lang="en-IN" sz="1000"/>
        </a:p>
      </xdr:txBody>
    </xdr:sp>
    <xdr:clientData/>
  </xdr:twoCellAnchor>
  <xdr:twoCellAnchor editAs="absolute">
    <xdr:from>
      <xdr:col>4</xdr:col>
      <xdr:colOff>240566</xdr:colOff>
      <xdr:row>3</xdr:row>
      <xdr:rowOff>153867</xdr:rowOff>
    </xdr:from>
    <xdr:to>
      <xdr:col>5</xdr:col>
      <xdr:colOff>13025</xdr:colOff>
      <xdr:row>4</xdr:row>
      <xdr:rowOff>178287</xdr:rowOff>
    </xdr:to>
    <xdr:sp macro="" textlink="'Pivot Report'!A9">
      <xdr:nvSpPr>
        <xdr:cNvPr id="43" name="TextBox 42">
          <a:extLst>
            <a:ext uri="{FF2B5EF4-FFF2-40B4-BE49-F238E27FC236}">
              <a16:creationId xmlns:a16="http://schemas.microsoft.com/office/drawing/2014/main" id="{BED5DA67-7460-4563-814C-344A6D7369AF}"/>
            </a:ext>
          </a:extLst>
        </xdr:cNvPr>
        <xdr:cNvSpPr txBox="1"/>
      </xdr:nvSpPr>
      <xdr:spPr>
        <a:xfrm>
          <a:off x="2674733" y="709492"/>
          <a:ext cx="381000" cy="209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23421D0-C605-4E8B-BFE7-42F54664AD17}" type="TxLink">
            <a:rPr lang="en-US" sz="1100" b="0" i="0" u="none" strike="noStrike">
              <a:solidFill>
                <a:srgbClr val="000000"/>
              </a:solidFill>
              <a:latin typeface="Calibri"/>
              <a:ea typeface="Calibri"/>
              <a:cs typeface="Calibri"/>
            </a:rPr>
            <a:pPr/>
            <a:t>36.67</a:t>
          </a:fld>
          <a:endParaRPr lang="en-IN" sz="900"/>
        </a:p>
      </xdr:txBody>
    </xdr:sp>
    <xdr:clientData/>
  </xdr:twoCellAnchor>
  <xdr:twoCellAnchor editAs="absolute">
    <xdr:from>
      <xdr:col>5</xdr:col>
      <xdr:colOff>500675</xdr:colOff>
      <xdr:row>4</xdr:row>
      <xdr:rowOff>100133</xdr:rowOff>
    </xdr:from>
    <xdr:to>
      <xdr:col>7</xdr:col>
      <xdr:colOff>388329</xdr:colOff>
      <xdr:row>6</xdr:row>
      <xdr:rowOff>47625</xdr:rowOff>
    </xdr:to>
    <xdr:sp macro="" textlink="">
      <xdr:nvSpPr>
        <xdr:cNvPr id="44" name="TextBox 43">
          <a:extLst>
            <a:ext uri="{FF2B5EF4-FFF2-40B4-BE49-F238E27FC236}">
              <a16:creationId xmlns:a16="http://schemas.microsoft.com/office/drawing/2014/main" id="{7914538B-54D1-4B38-B91E-44547B4D8567}"/>
            </a:ext>
          </a:extLst>
        </xdr:cNvPr>
        <xdr:cNvSpPr txBox="1"/>
      </xdr:nvSpPr>
      <xdr:spPr>
        <a:xfrm>
          <a:off x="3543383" y="840966"/>
          <a:ext cx="1104738" cy="317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Patient Satisfaction</a:t>
          </a:r>
        </a:p>
        <a:p>
          <a:r>
            <a:rPr lang="en-IN" sz="1000"/>
            <a:t>            Score                                                </a:t>
          </a:r>
        </a:p>
      </xdr:txBody>
    </xdr:sp>
    <xdr:clientData/>
  </xdr:twoCellAnchor>
  <xdr:twoCellAnchor editAs="absolute">
    <xdr:from>
      <xdr:col>6</xdr:col>
      <xdr:colOff>266211</xdr:colOff>
      <xdr:row>3</xdr:row>
      <xdr:rowOff>133107</xdr:rowOff>
    </xdr:from>
    <xdr:to>
      <xdr:col>7</xdr:col>
      <xdr:colOff>36635</xdr:colOff>
      <xdr:row>4</xdr:row>
      <xdr:rowOff>157525</xdr:rowOff>
    </xdr:to>
    <xdr:sp macro="" textlink="'Pivot Report'!A13">
      <xdr:nvSpPr>
        <xdr:cNvPr id="45" name="TextBox 44">
          <a:extLst>
            <a:ext uri="{FF2B5EF4-FFF2-40B4-BE49-F238E27FC236}">
              <a16:creationId xmlns:a16="http://schemas.microsoft.com/office/drawing/2014/main" id="{B683A4CD-D5FB-4645-822C-23A06044A464}"/>
            </a:ext>
          </a:extLst>
        </xdr:cNvPr>
        <xdr:cNvSpPr txBox="1"/>
      </xdr:nvSpPr>
      <xdr:spPr>
        <a:xfrm>
          <a:off x="3917461" y="688732"/>
          <a:ext cx="378966" cy="20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788BE25-6A58-4C8E-802E-85DBA828D8EA}" type="TxLink">
            <a:rPr lang="en-US" sz="1100" b="0" i="0" u="none" strike="noStrike">
              <a:solidFill>
                <a:srgbClr val="000000"/>
              </a:solidFill>
              <a:latin typeface="Calibri"/>
              <a:ea typeface="Calibri"/>
              <a:cs typeface="Calibri"/>
            </a:rPr>
            <a:pPr/>
            <a:t>4.72</a:t>
          </a:fld>
          <a:endParaRPr lang="en-IN" sz="900"/>
        </a:p>
      </xdr:txBody>
    </xdr:sp>
    <xdr:clientData/>
  </xdr:twoCellAnchor>
  <xdr:twoCellAnchor editAs="oneCell">
    <xdr:from>
      <xdr:col>3</xdr:col>
      <xdr:colOff>178326</xdr:colOff>
      <xdr:row>3</xdr:row>
      <xdr:rowOff>122449</xdr:rowOff>
    </xdr:from>
    <xdr:to>
      <xdr:col>3</xdr:col>
      <xdr:colOff>368826</xdr:colOff>
      <xdr:row>4</xdr:row>
      <xdr:rowOff>127333</xdr:rowOff>
    </xdr:to>
    <xdr:pic>
      <xdr:nvPicPr>
        <xdr:cNvPr id="47" name="Graphic 46" descr="Male profile with solid fill">
          <a:extLst>
            <a:ext uri="{FF2B5EF4-FFF2-40B4-BE49-F238E27FC236}">
              <a16:creationId xmlns:a16="http://schemas.microsoft.com/office/drawing/2014/main" id="{C99D1542-9F38-4185-BEDE-F231E66524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014053" y="676631"/>
          <a:ext cx="190500" cy="189611"/>
        </a:xfrm>
        <a:prstGeom prst="rect">
          <a:avLst/>
        </a:prstGeom>
      </xdr:spPr>
    </xdr:pic>
    <xdr:clientData/>
  </xdr:twoCellAnchor>
  <xdr:twoCellAnchor editAs="oneCell">
    <xdr:from>
      <xdr:col>5</xdr:col>
      <xdr:colOff>175847</xdr:colOff>
      <xdr:row>3</xdr:row>
      <xdr:rowOff>154679</xdr:rowOff>
    </xdr:from>
    <xdr:to>
      <xdr:col>5</xdr:col>
      <xdr:colOff>356577</xdr:colOff>
      <xdr:row>4</xdr:row>
      <xdr:rowOff>149793</xdr:rowOff>
    </xdr:to>
    <xdr:pic>
      <xdr:nvPicPr>
        <xdr:cNvPr id="49" name="Graphic 48" descr="Hourglass Finished with solid fill">
          <a:extLst>
            <a:ext uri="{FF2B5EF4-FFF2-40B4-BE49-F238E27FC236}">
              <a16:creationId xmlns:a16="http://schemas.microsoft.com/office/drawing/2014/main" id="{5C865A9A-C1DA-4E07-80CB-DD4B93331B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18555" y="710304"/>
          <a:ext cx="180730" cy="180322"/>
        </a:xfrm>
        <a:prstGeom prst="rect">
          <a:avLst/>
        </a:prstGeom>
      </xdr:spPr>
    </xdr:pic>
    <xdr:clientData/>
  </xdr:twoCellAnchor>
  <xdr:twoCellAnchor editAs="oneCell">
    <xdr:from>
      <xdr:col>7</xdr:col>
      <xdr:colOff>160380</xdr:colOff>
      <xdr:row>3</xdr:row>
      <xdr:rowOff>127408</xdr:rowOff>
    </xdr:from>
    <xdr:to>
      <xdr:col>7</xdr:col>
      <xdr:colOff>326456</xdr:colOff>
      <xdr:row>4</xdr:row>
      <xdr:rowOff>107868</xdr:rowOff>
    </xdr:to>
    <xdr:pic>
      <xdr:nvPicPr>
        <xdr:cNvPr id="51" name="Graphic 50" descr="Customer review with solid fill">
          <a:extLst>
            <a:ext uri="{FF2B5EF4-FFF2-40B4-BE49-F238E27FC236}">
              <a16:creationId xmlns:a16="http://schemas.microsoft.com/office/drawing/2014/main" id="{F602CA6D-4E95-4750-95E8-F4D0DFA29EE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420172" y="683033"/>
          <a:ext cx="166076" cy="165668"/>
        </a:xfrm>
        <a:prstGeom prst="rect">
          <a:avLst/>
        </a:prstGeom>
      </xdr:spPr>
    </xdr:pic>
    <xdr:clientData/>
  </xdr:twoCellAnchor>
  <xdr:twoCellAnchor editAs="oneCell">
    <xdr:from>
      <xdr:col>0</xdr:col>
      <xdr:colOff>312207</xdr:colOff>
      <xdr:row>3</xdr:row>
      <xdr:rowOff>137583</xdr:rowOff>
    </xdr:from>
    <xdr:to>
      <xdr:col>1</xdr:col>
      <xdr:colOff>460374</xdr:colOff>
      <xdr:row>16</xdr:row>
      <xdr:rowOff>79375</xdr:rowOff>
    </xdr:to>
    <mc:AlternateContent xmlns:mc="http://schemas.openxmlformats.org/markup-compatibility/2006" xmlns:a14="http://schemas.microsoft.com/office/drawing/2010/main">
      <mc:Choice Requires="a14">
        <xdr:graphicFrame macro="">
          <xdr:nvGraphicFramePr>
            <xdr:cNvPr id="52" name="Date (Month)">
              <a:extLst>
                <a:ext uri="{FF2B5EF4-FFF2-40B4-BE49-F238E27FC236}">
                  <a16:creationId xmlns:a16="http://schemas.microsoft.com/office/drawing/2014/main" id="{2A11E2B2-E9EF-4BFC-97F1-2A3ADC5BF1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12207" y="691765"/>
              <a:ext cx="760076" cy="2343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496455</xdr:colOff>
      <xdr:row>4</xdr:row>
      <xdr:rowOff>138546</xdr:rowOff>
    </xdr:from>
    <xdr:to>
      <xdr:col>3</xdr:col>
      <xdr:colOff>500672</xdr:colOff>
      <xdr:row>9</xdr:row>
      <xdr:rowOff>11546</xdr:rowOff>
    </xdr:to>
    <xdr:graphicFrame macro="">
      <xdr:nvGraphicFramePr>
        <xdr:cNvPr id="53" name="Chart 52">
          <a:hlinkClick xmlns:r="http://schemas.openxmlformats.org/officeDocument/2006/relationships" r:id="rId8"/>
          <a:extLst>
            <a:ext uri="{FF2B5EF4-FFF2-40B4-BE49-F238E27FC236}">
              <a16:creationId xmlns:a16="http://schemas.microsoft.com/office/drawing/2014/main" id="{1FB3FDF7-1AB0-452D-8703-B338D8D1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465667</xdr:colOff>
      <xdr:row>6</xdr:row>
      <xdr:rowOff>26458</xdr:rowOff>
    </xdr:from>
    <xdr:to>
      <xdr:col>5</xdr:col>
      <xdr:colOff>359834</xdr:colOff>
      <xdr:row>7</xdr:row>
      <xdr:rowOff>100542</xdr:rowOff>
    </xdr:to>
    <xdr:graphicFrame macro="">
      <xdr:nvGraphicFramePr>
        <xdr:cNvPr id="58" name="Chart 57">
          <a:hlinkClick xmlns:r="http://schemas.openxmlformats.org/officeDocument/2006/relationships" r:id="rId10"/>
          <a:extLst>
            <a:ext uri="{FF2B5EF4-FFF2-40B4-BE49-F238E27FC236}">
              <a16:creationId xmlns:a16="http://schemas.microsoft.com/office/drawing/2014/main" id="{73B225E7-AD6C-444C-9E30-26BEAFA5B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433917</xdr:colOff>
      <xdr:row>5</xdr:row>
      <xdr:rowOff>121227</xdr:rowOff>
    </xdr:from>
    <xdr:to>
      <xdr:col>7</xdr:col>
      <xdr:colOff>340591</xdr:colOff>
      <xdr:row>7</xdr:row>
      <xdr:rowOff>88996</xdr:rowOff>
    </xdr:to>
    <xdr:graphicFrame macro="">
      <xdr:nvGraphicFramePr>
        <xdr:cNvPr id="59" name="Chart 58">
          <a:hlinkClick xmlns:r="http://schemas.openxmlformats.org/officeDocument/2006/relationships" r:id="rId12"/>
          <a:extLst>
            <a:ext uri="{FF2B5EF4-FFF2-40B4-BE49-F238E27FC236}">
              <a16:creationId xmlns:a16="http://schemas.microsoft.com/office/drawing/2014/main" id="{84035855-F68F-46A4-9ED6-D1EB96692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551961</xdr:colOff>
      <xdr:row>10</xdr:row>
      <xdr:rowOff>156307</xdr:rowOff>
    </xdr:from>
    <xdr:to>
      <xdr:col>7</xdr:col>
      <xdr:colOff>351693</xdr:colOff>
      <xdr:row>16</xdr:row>
      <xdr:rowOff>117230</xdr:rowOff>
    </xdr:to>
    <xdr:graphicFrame macro="">
      <xdr:nvGraphicFramePr>
        <xdr:cNvPr id="30" name="Chart 29">
          <a:extLst>
            <a:ext uri="{FF2B5EF4-FFF2-40B4-BE49-F238E27FC236}">
              <a16:creationId xmlns:a16="http://schemas.microsoft.com/office/drawing/2014/main" id="{31D36329-0140-49DA-9727-1D92E2D96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266433</xdr:colOff>
      <xdr:row>15</xdr:row>
      <xdr:rowOff>144319</xdr:rowOff>
    </xdr:from>
    <xdr:to>
      <xdr:col>6</xdr:col>
      <xdr:colOff>90587</xdr:colOff>
      <xdr:row>16</xdr:row>
      <xdr:rowOff>168738</xdr:rowOff>
    </xdr:to>
    <xdr:sp macro="" textlink="">
      <xdr:nvSpPr>
        <xdr:cNvPr id="31" name="TextBox 30">
          <a:extLst>
            <a:ext uri="{FF2B5EF4-FFF2-40B4-BE49-F238E27FC236}">
              <a16:creationId xmlns:a16="http://schemas.microsoft.com/office/drawing/2014/main" id="{286F6914-5B80-4B20-B045-E12D4EC75FB4}"/>
            </a:ext>
          </a:extLst>
        </xdr:cNvPr>
        <xdr:cNvSpPr txBox="1"/>
      </xdr:nvSpPr>
      <xdr:spPr>
        <a:xfrm>
          <a:off x="2102160" y="2915228"/>
          <a:ext cx="1659882" cy="209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No. of patient by Age </a:t>
          </a:r>
          <a:r>
            <a:rPr lang="en-IN" sz="1000"/>
            <a:t>group</a:t>
          </a:r>
          <a:endParaRPr lang="en-IN" sz="1050"/>
        </a:p>
        <a:p>
          <a:endParaRPr lang="en-IN" sz="1050"/>
        </a:p>
      </xdr:txBody>
    </xdr:sp>
    <xdr:clientData/>
  </xdr:twoCellAnchor>
  <xdr:twoCellAnchor>
    <xdr:from>
      <xdr:col>7</xdr:col>
      <xdr:colOff>461109</xdr:colOff>
      <xdr:row>0</xdr:row>
      <xdr:rowOff>63500</xdr:rowOff>
    </xdr:from>
    <xdr:to>
      <xdr:col>10</xdr:col>
      <xdr:colOff>19050</xdr:colOff>
      <xdr:row>7</xdr:row>
      <xdr:rowOff>19050</xdr:rowOff>
    </xdr:to>
    <xdr:graphicFrame macro="">
      <xdr:nvGraphicFramePr>
        <xdr:cNvPr id="34" name="Chart 33">
          <a:extLst>
            <a:ext uri="{FF2B5EF4-FFF2-40B4-BE49-F238E27FC236}">
              <a16:creationId xmlns:a16="http://schemas.microsoft.com/office/drawing/2014/main" id="{419E4B58-F68D-4D93-8965-42EEAB352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8660</xdr:colOff>
      <xdr:row>6</xdr:row>
      <xdr:rowOff>25401</xdr:rowOff>
    </xdr:from>
    <xdr:to>
      <xdr:col>10</xdr:col>
      <xdr:colOff>114523</xdr:colOff>
      <xdr:row>7</xdr:row>
      <xdr:rowOff>56171</xdr:rowOff>
    </xdr:to>
    <xdr:sp macro="" textlink="">
      <xdr:nvSpPr>
        <xdr:cNvPr id="35" name="TextBox 34">
          <a:extLst>
            <a:ext uri="{FF2B5EF4-FFF2-40B4-BE49-F238E27FC236}">
              <a16:creationId xmlns:a16="http://schemas.microsoft.com/office/drawing/2014/main" id="{49ED6E50-9043-44FD-A45F-04729D21474E}"/>
            </a:ext>
          </a:extLst>
        </xdr:cNvPr>
        <xdr:cNvSpPr txBox="1"/>
      </xdr:nvSpPr>
      <xdr:spPr>
        <a:xfrm>
          <a:off x="4903933" y="1133765"/>
          <a:ext cx="1329681" cy="215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Patient Attend Status</a:t>
          </a:r>
        </a:p>
      </xdr:txBody>
    </xdr:sp>
    <xdr:clientData/>
  </xdr:twoCellAnchor>
  <xdr:twoCellAnchor>
    <xdr:from>
      <xdr:col>10</xdr:col>
      <xdr:colOff>146050</xdr:colOff>
      <xdr:row>0</xdr:row>
      <xdr:rowOff>69850</xdr:rowOff>
    </xdr:from>
    <xdr:to>
      <xdr:col>12</xdr:col>
      <xdr:colOff>241300</xdr:colOff>
      <xdr:row>6</xdr:row>
      <xdr:rowOff>177800</xdr:rowOff>
    </xdr:to>
    <xdr:graphicFrame macro="">
      <xdr:nvGraphicFramePr>
        <xdr:cNvPr id="36" name="Chart 35">
          <a:extLst>
            <a:ext uri="{FF2B5EF4-FFF2-40B4-BE49-F238E27FC236}">
              <a16:creationId xmlns:a16="http://schemas.microsoft.com/office/drawing/2014/main" id="{64C2702E-456A-49B8-A6C4-BA5081E96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228023</xdr:colOff>
      <xdr:row>6</xdr:row>
      <xdr:rowOff>11547</xdr:rowOff>
    </xdr:from>
    <xdr:to>
      <xdr:col>12</xdr:col>
      <xdr:colOff>331577</xdr:colOff>
      <xdr:row>7</xdr:row>
      <xdr:rowOff>42317</xdr:rowOff>
    </xdr:to>
    <xdr:sp macro="" textlink="">
      <xdr:nvSpPr>
        <xdr:cNvPr id="37" name="TextBox 36">
          <a:extLst>
            <a:ext uri="{FF2B5EF4-FFF2-40B4-BE49-F238E27FC236}">
              <a16:creationId xmlns:a16="http://schemas.microsoft.com/office/drawing/2014/main" id="{F57C5772-0D8C-4596-906B-6AB5A428DBA8}"/>
            </a:ext>
          </a:extLst>
        </xdr:cNvPr>
        <xdr:cNvSpPr txBox="1"/>
      </xdr:nvSpPr>
      <xdr:spPr>
        <a:xfrm>
          <a:off x="6347114" y="1119911"/>
          <a:ext cx="1327372" cy="215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Gender wise analysis</a:t>
          </a:r>
        </a:p>
        <a:p>
          <a:endParaRPr lang="en-IN" sz="1000"/>
        </a:p>
      </xdr:txBody>
    </xdr:sp>
    <xdr:clientData/>
  </xdr:twoCellAnchor>
  <xdr:twoCellAnchor>
    <xdr:from>
      <xdr:col>7</xdr:col>
      <xdr:colOff>461818</xdr:colOff>
      <xdr:row>8</xdr:row>
      <xdr:rowOff>5773</xdr:rowOff>
    </xdr:from>
    <xdr:to>
      <xdr:col>12</xdr:col>
      <xdr:colOff>271319</xdr:colOff>
      <xdr:row>16</xdr:row>
      <xdr:rowOff>92364</xdr:rowOff>
    </xdr:to>
    <xdr:graphicFrame macro="">
      <xdr:nvGraphicFramePr>
        <xdr:cNvPr id="40" name="Chart 39">
          <a:extLst>
            <a:ext uri="{FF2B5EF4-FFF2-40B4-BE49-F238E27FC236}">
              <a16:creationId xmlns:a16="http://schemas.microsoft.com/office/drawing/2014/main" id="{229A33F6-658A-4015-9BFA-AD60C5DE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300181</xdr:colOff>
      <xdr:row>15</xdr:row>
      <xdr:rowOff>126999</xdr:rowOff>
    </xdr:from>
    <xdr:to>
      <xdr:col>12</xdr:col>
      <xdr:colOff>178954</xdr:colOff>
      <xdr:row>16</xdr:row>
      <xdr:rowOff>168739</xdr:rowOff>
    </xdr:to>
    <xdr:sp macro="" textlink="">
      <xdr:nvSpPr>
        <xdr:cNvPr id="61" name="TextBox 60">
          <a:extLst>
            <a:ext uri="{FF2B5EF4-FFF2-40B4-BE49-F238E27FC236}">
              <a16:creationId xmlns:a16="http://schemas.microsoft.com/office/drawing/2014/main" id="{11469DE5-CB4D-4E74-BD69-3D35209F396C}"/>
            </a:ext>
          </a:extLst>
        </xdr:cNvPr>
        <xdr:cNvSpPr txBox="1"/>
      </xdr:nvSpPr>
      <xdr:spPr>
        <a:xfrm>
          <a:off x="5195454" y="2897908"/>
          <a:ext cx="2326409" cy="22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No. of patient by </a:t>
          </a:r>
          <a:r>
            <a:rPr lang="en-IN" sz="1000"/>
            <a:t>department</a:t>
          </a:r>
          <a:r>
            <a:rPr lang="en-IN" sz="1050"/>
            <a:t> referral</a:t>
          </a:r>
        </a:p>
      </xdr:txBody>
    </xdr:sp>
    <xdr:clientData/>
  </xdr:twoCellAnchor>
  <xdr:twoCellAnchor editAs="oneCell">
    <xdr:from>
      <xdr:col>5</xdr:col>
      <xdr:colOff>289080</xdr:colOff>
      <xdr:row>0</xdr:row>
      <xdr:rowOff>114566</xdr:rowOff>
    </xdr:from>
    <xdr:to>
      <xdr:col>7</xdr:col>
      <xdr:colOff>225136</xdr:colOff>
      <xdr:row>2</xdr:row>
      <xdr:rowOff>157861</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8CCABFAD-7268-4109-ADF8-C83C37EDD73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48625" y="114566"/>
              <a:ext cx="1159875" cy="41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542636</xdr:colOff>
          <xdr:row>7</xdr:row>
          <xdr:rowOff>178954</xdr:rowOff>
        </xdr:from>
        <xdr:to>
          <xdr:col>7</xdr:col>
          <xdr:colOff>352136</xdr:colOff>
          <xdr:row>10</xdr:row>
          <xdr:rowOff>75045</xdr:rowOff>
        </xdr:to>
        <xdr:pic>
          <xdr:nvPicPr>
            <xdr:cNvPr id="57" name="Picture 56">
              <a:extLst>
                <a:ext uri="{FF2B5EF4-FFF2-40B4-BE49-F238E27FC236}">
                  <a16:creationId xmlns:a16="http://schemas.microsoft.com/office/drawing/2014/main" id="{B2BC449D-C812-40D5-8ABB-513F324CC860}"/>
                </a:ext>
              </a:extLst>
            </xdr:cNvPr>
            <xdr:cNvPicPr>
              <a:picLocks noChangeAspect="1" noChangeArrowheads="1"/>
              <a:extLst>
                <a:ext uri="{84589F7E-364E-4C9E-8A38-B11213B215E9}">
                  <a14:cameraTool cellRange="'Pivot Report'!$A$45:$D$47" spid="_x0000_s1033"/>
                </a:ext>
              </a:extLst>
            </xdr:cNvPicPr>
          </xdr:nvPicPr>
          <xdr:blipFill>
            <a:blip xmlns:r="http://schemas.openxmlformats.org/officeDocument/2006/relationships" r:embed="rId18"/>
            <a:srcRect/>
            <a:stretch>
              <a:fillRect/>
            </a:stretch>
          </xdr:blipFill>
          <xdr:spPr bwMode="auto">
            <a:xfrm>
              <a:off x="1154545" y="1472045"/>
              <a:ext cx="3480955" cy="45027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450850</xdr:colOff>
      <xdr:row>18</xdr:row>
      <xdr:rowOff>19050</xdr:rowOff>
    </xdr:to>
    <xdr:graphicFrame macro="">
      <xdr:nvGraphicFramePr>
        <xdr:cNvPr id="3" name="Chart 2">
          <a:extLst>
            <a:ext uri="{FF2B5EF4-FFF2-40B4-BE49-F238E27FC236}">
              <a16:creationId xmlns:a16="http://schemas.microsoft.com/office/drawing/2014/main" id="{2F0F5166-17FF-4572-BEF5-62F71DA83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355600</xdr:colOff>
      <xdr:row>1</xdr:row>
      <xdr:rowOff>171450</xdr:rowOff>
    </xdr:to>
    <xdr:pic>
      <xdr:nvPicPr>
        <xdr:cNvPr id="5" name="Graphic 4" descr="Home with solid fill">
          <a:extLst>
            <a:ext uri="{FF2B5EF4-FFF2-40B4-BE49-F238E27FC236}">
              <a16:creationId xmlns:a16="http://schemas.microsoft.com/office/drawing/2014/main" id="{176DB839-EB0E-4F01-A277-4CD85EE554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355600" cy="355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16</xdr:row>
      <xdr:rowOff>63500</xdr:rowOff>
    </xdr:to>
    <xdr:graphicFrame macro="">
      <xdr:nvGraphicFramePr>
        <xdr:cNvPr id="2" name="Chart 1">
          <a:extLst>
            <a:ext uri="{FF2B5EF4-FFF2-40B4-BE49-F238E27FC236}">
              <a16:creationId xmlns:a16="http://schemas.microsoft.com/office/drawing/2014/main" id="{368C3DAD-1AC8-4789-A56A-26C4E0D93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0</xdr:row>
      <xdr:rowOff>31750</xdr:rowOff>
    </xdr:from>
    <xdr:to>
      <xdr:col>0</xdr:col>
      <xdr:colOff>444500</xdr:colOff>
      <xdr:row>2</xdr:row>
      <xdr:rowOff>57150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8203661-7BE7-4BCD-A4B2-4005EB1D42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0800" y="31750"/>
          <a:ext cx="393700" cy="393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25400</xdr:colOff>
      <xdr:row>17</xdr:row>
      <xdr:rowOff>63500</xdr:rowOff>
    </xdr:to>
    <xdr:graphicFrame macro="">
      <xdr:nvGraphicFramePr>
        <xdr:cNvPr id="2" name="Chart 1">
          <a:extLst>
            <a:ext uri="{FF2B5EF4-FFF2-40B4-BE49-F238E27FC236}">
              <a16:creationId xmlns:a16="http://schemas.microsoft.com/office/drawing/2014/main" id="{950E7FEF-7556-4934-A51B-5AE9F29B7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0.04778</cdr:x>
      <cdr:y>0.13718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3F170B8-73B4-4137-877C-BF31EBB193A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38150" cy="4381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49189813" createdVersion="5" refreshedVersion="7" minRefreshableVersion="3" recordCount="0" supportSubquery="1" supportAdvancedDrill="1" xr:uid="{F6A1D3C0-48DC-4524-944E-5C59B396279B}">
  <cacheSource type="external" connectionId="3"/>
  <cacheFields count="4">
    <cacheField name="[Calendar_Table].[Date (Month)].[Date (Month)]" caption="Date (Month)" numFmtId="0" hierarchy="1" level="1">
      <sharedItems containsNonDate="0"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49768521" createdVersion="5" refreshedVersion="7" minRefreshableVersion="3" recordCount="0" supportSubquery="1" supportAdvancedDrill="1" xr:uid="{17833BE0-A889-4C2F-8339-7A59485FEFC8}">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0231483" createdVersion="5" refreshedVersion="7" minRefreshableVersion="3" recordCount="0" supportSubquery="1" supportAdvancedDrill="1" xr:uid="{636889F4-7AED-4980-BBBA-24C69ED9EF4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0810183" createdVersion="5" refreshedVersion="7" minRefreshableVersion="3" recordCount="0" supportSubquery="1" supportAdvancedDrill="1" xr:uid="{7F2EDEFE-1AFA-4632-BF5A-F3A0AA58E5FD}">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1388891" createdVersion="5" refreshedVersion="7" minRefreshableVersion="3" recordCount="0" supportSubquery="1" supportAdvancedDrill="1" xr:uid="{DA987285-9B39-425D-93BD-27680E94A370}">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208333" createdVersion="5" refreshedVersion="7" minRefreshableVersion="3" recordCount="0" supportSubquery="1" supportAdvancedDrill="1" xr:uid="{B1C61596-3E76-4799-B698-7141C001D89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2662038" createdVersion="5" refreshedVersion="7" minRefreshableVersion="3" recordCount="0" supportSubquery="1" supportAdvancedDrill="1" xr:uid="{AD3F4C73-7926-4563-BA5F-287B57B4B569}">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3240739" createdVersion="5" refreshedVersion="7" minRefreshableVersion="3" recordCount="0" supportSubquery="1" supportAdvancedDrill="1" xr:uid="{649EC57A-91BF-4F2B-B29C-D736021A2D6C}">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3587962" createdVersion="5" refreshedVersion="7" minRefreshableVersion="3" recordCount="0" supportSubquery="1" supportAdvancedDrill="1" xr:uid="{0322322C-98B5-4E54-98E0-42A02AAD745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3819447" createdVersion="5" refreshedVersion="7" minRefreshableVersion="3" recordCount="0" supportSubquery="1" supportAdvancedDrill="1" xr:uid="{766D24FF-F915-4779-98E5-2EF43D1BD1F0}">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416667" createdVersion="5" refreshedVersion="7" minRefreshableVersion="3" recordCount="0" supportSubquery="1" supportAdvancedDrill="1" xr:uid="{4C778983-A0DD-4160-A98C-878ACBF7768C}">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9.903154513886" createdVersion="5" refreshedVersion="7" minRefreshableVersion="3" recordCount="0" supportSubquery="1" supportAdvancedDrill="1" xr:uid="{CAEC2E59-5787-42C6-8AA9-5A0468C46D5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ok Yadav" refreshedDate="46268.971108449077" createdVersion="3" refreshedVersion="7" minRefreshableVersion="3" recordCount="0" supportSubquery="1" supportAdvancedDrill="1" xr:uid="{A124392D-49CD-4A2B-B382-C6C16C998DD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116230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C5578-8E53-41B2-A4A7-A36F79CF4495}" name="PivotTable5" cacheId="1020"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11">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554">
      <pivotArea outline="0" collapsedLevelsAreSubtotals="1" fieldPosition="0"/>
    </format>
    <format dxfId="553">
      <pivotArea grandRow="1" outline="0" collapsedLevelsAreSubtotals="1" fieldPosition="0"/>
    </format>
    <format dxfId="552">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1E2AA-E3FF-4634-873B-6D303B2E4FD9}" name="PivotTable10" cacheId="993"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15">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56">
      <pivotArea outline="0" collapsedLevelsAreSubtotals="1" fieldPosition="0"/>
    </format>
    <format dxfId="555">
      <pivotArea grandRow="1"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7D816-9120-4735-9C9B-12ABFC4A7B22}" name="PivotTable4" cacheId="1017"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57">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95242-823F-42C0-9CE2-664F0AF440A8}" name="PivotTable9" cacheId="1008" applyNumberFormats="0" applyBorderFormats="0" applyFontFormats="0" applyPatternFormats="0" applyAlignmentFormats="0" applyWidthHeightFormats="1" dataCaption="Values" tag="c2625563-8a04-4d7c-bf19-c90f1e55611e" updatedVersion="7" minRefreshableVersion="3" subtotalHiddenItems="1" itemPrintTitles="1" createdVersion="5" indent="0" outline="1" outlineData="1" multipleFieldFilters="0" chartFormat="24">
  <location ref="K4:L33" firstHeaderRow="1" firstDataRow="1" firstDataCol="1"/>
  <pivotFields count="4">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2">
    <format dxfId="559">
      <pivotArea collapsedLevelsAreSubtotals="1" fieldPosition="0">
        <references count="1">
          <reference field="0" count="0"/>
        </references>
      </pivotArea>
    </format>
    <format dxfId="558">
      <pivotArea grandRow="1" outline="0" collapsedLevelsAreSubtotals="1" fieldPosition="0"/>
    </format>
  </formats>
  <chartFormats count="5">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616AC-E3BF-4AAA-BA82-F8707D0B2F00}" name="PivotTable1" cacheId="990"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31">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564">
      <pivotArea outline="0" collapsedLevelsAreSubtotals="1" fieldPosition="0"/>
    </format>
    <format dxfId="563">
      <pivotArea collapsedLevelsAreSubtotals="1" fieldPosition="0">
        <references count="1">
          <reference field="1" count="1">
            <x v="0"/>
          </reference>
        </references>
      </pivotArea>
    </format>
    <format dxfId="562">
      <pivotArea collapsedLevelsAreSubtotals="1" fieldPosition="0">
        <references count="1">
          <reference field="1" count="1">
            <x v="1"/>
          </reference>
        </references>
      </pivotArea>
    </format>
    <format dxfId="561">
      <pivotArea grandRow="1" outline="0" collapsedLevelsAreSubtotals="1" fieldPosition="0"/>
    </format>
    <format dxfId="560">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6A042B-5FDB-4B5A-BAB7-9A53B7AE981B}" name="PivotTable2" cacheId="1011" applyNumberFormats="0" applyBorderFormats="0" applyFontFormats="0" applyPatternFormats="0" applyAlignmentFormats="0" applyWidthHeightFormats="1" dataCaption="Values" tag="bab91d93-377d-44c4-8bec-1830dfa263e6"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2997A1-9293-4D7E-96F9-580117F4FE4A}" name="PivotTable8" cacheId="1005" applyNumberFormats="0" applyBorderFormats="0" applyFontFormats="0" applyPatternFormats="0" applyAlignmentFormats="0" applyWidthHeightFormats="1" dataCaption="Values" tag="9beefa10-80f6-4c32-87d2-8ebd53b49627" updatedVersion="7" minRefreshableVersion="3" subtotalHiddenItems="1" itemPrintTitles="1" createdVersion="5" indent="0" outline="1" outlineData="1" multipleFieldFilters="0" chartFormat="19">
  <location ref="H4:I34" firstHeaderRow="1" firstDataRow="1" firstDataCol="1"/>
  <pivotFields count="4">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2">
    <format dxfId="566">
      <pivotArea collapsedLevelsAreSubtotals="1" fieldPosition="0">
        <references count="1">
          <reference field="0" count="0"/>
        </references>
      </pivotArea>
    </format>
    <format dxfId="565">
      <pivotArea grandRow="1"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7078B1-8C89-4290-9D40-3B90E0F579A7}" name="PivotTable6" cacheId="999" applyNumberFormats="0" applyBorderFormats="0" applyFontFormats="0" applyPatternFormats="0" applyAlignmentFormats="0" applyWidthHeightFormats="1" dataCaption="Values" tag="74258efd-770f-4c2a-82b6-0f1bb79800d6" updatedVersion="7" minRefreshableVersion="3" subtotalHiddenItems="1" itemPrintTitles="1" createdVersion="5" indent="0" outline="1" outlineData="1" multipleFieldFilters="0" chartFormat="12">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BBA166-7158-4313-8D56-9688C5CD1C74}" name="PivotTable3" cacheId="1014" applyNumberFormats="0" applyBorderFormats="0" applyFontFormats="0" applyPatternFormats="0" applyAlignmentFormats="0" applyWidthHeightFormats="1" dataCaption="Values" tag="d7ac6417-c196-4d8d-86c7-e835bceec768"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67">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6CDFD2-8D0B-4296-8037-1C9CD6981AFF}" name="PivotTable12" cacheId="987"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19">
  <location ref="I62:I6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569">
      <pivotArea outline="0" collapsedLevelsAreSubtotals="1" fieldPosition="0"/>
    </format>
    <format dxfId="568">
      <pivotArea grandRow="1"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D27DA5-FF79-4D84-82D8-E83A3695D39C}" name="PivotTable7" cacheId="1002"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26">
  <location ref="E50:F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572">
      <pivotArea outline="0" collapsedLevelsAreSubtotals="1" fieldPosition="0"/>
    </format>
    <format dxfId="571">
      <pivotArea grandRow="1" outline="0" collapsedLevelsAreSubtotals="1" fieldPosition="0"/>
    </format>
    <format dxfId="570">
      <pivotArea collapsedLevelsAreSubtotals="1" fieldPosition="0">
        <references count="1">
          <reference field="1" count="0"/>
        </references>
      </pivotArea>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9DDC46-D645-433C-B927-6BC717AE004E}" name="PivotTable11" cacheId="996" applyNumberFormats="0" applyBorderFormats="0" applyFontFormats="0" applyPatternFormats="0" applyAlignmentFormats="0" applyWidthHeightFormats="1" dataCaption="Values" tag="2c2d928b-0865-4cf5-8104-a0ce9e354c2e" updatedVersion="7" minRefreshableVersion="3" subtotalHiddenItems="1" itemPrintTitles="1" createdVersion="5" indent="0" outline="1" outlineData="1" multipleFieldFilters="0" chartFormat="19">
  <location ref="E62:F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574">
      <pivotArea outline="0" collapsedLevelsAreSubtotals="1" fieldPosition="0"/>
    </format>
    <format dxfId="573">
      <pivotArea grandRow="1"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DD73908-A3AF-428B-922E-21850B2FC73B}" sourceName="[Calendar_Table].[Date (Month)]">
  <pivotTables>
    <pivotTable tabId="2" name="PivotTable6"/>
    <pivotTable tabId="2" name="PivotTable2"/>
    <pivotTable tabId="2" name="PivotTable3"/>
    <pivotTable tabId="2" name="PivotTable4"/>
    <pivotTable tabId="2" name="PivotTable8"/>
    <pivotTable tabId="2" name="PivotTable9"/>
    <pivotTable tabId="2" name="PivotTable1"/>
    <pivotTable tabId="2" name="PivotTable5"/>
    <pivotTable tabId="2" name="PivotTable7"/>
    <pivotTable tabId="2" name="PivotTable10"/>
    <pivotTable tabId="2" name="PivotTable11"/>
    <pivotTable tabId="2" name="PivotTable12"/>
  </pivotTables>
  <data>
    <olap pivotCacheId="201162302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98532BA-4F17-4D13-A97D-E0F479D8B9B4}" sourceName="[Calendar_Table].[Date (Year)]">
  <pivotTables>
    <pivotTable tabId="2" name="PivotTable12"/>
    <pivotTable tabId="2" name="PivotTable1"/>
    <pivotTable tabId="2" name="PivotTable10"/>
    <pivotTable tabId="2" name="PivotTable11"/>
    <pivotTable tabId="2" name="PivotTable6"/>
    <pivotTable tabId="2" name="PivotTable7"/>
    <pivotTable tabId="2" name="PivotTable8"/>
    <pivotTable tabId="2" name="PivotTable9"/>
    <pivotTable tabId="2" name="PivotTable2"/>
    <pivotTable tabId="2" name="PivotTable3"/>
    <pivotTable tabId="2" name="PivotTable4"/>
    <pivotTable tabId="2" name="PivotTable5"/>
  </pivotTables>
  <data>
    <olap pivotCacheId="201162302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B0A909C-C855-4859-983A-CE7FCD2748AC}" cache="Slicer_Date__Month" caption="Date (Month)" showCaption="0" level="1" style="SlicerStyleLight1 2 2" rowHeight="182880"/>
  <slicer name="Date (Year)" xr10:uid="{3CE135A7-D792-44FE-B2D2-E0DFC53DCDB2}" cache="Slicer_Date__Year" caption="Date (Year)" columnCount="2" showCaption="0" level="1" style="SlicerStyleLight1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C0C3-A1B3-48EB-B26B-E3CBE963D81A}">
  <dimension ref="A3:L71"/>
  <sheetViews>
    <sheetView topLeftCell="A34" workbookViewId="0">
      <selection activeCell="F46" sqref="F46"/>
    </sheetView>
  </sheetViews>
  <sheetFormatPr defaultRowHeight="14.5" x14ac:dyDescent="0.35"/>
  <cols>
    <col min="1" max="1" width="15.54296875" customWidth="1"/>
    <col min="2" max="2" width="7.6328125" customWidth="1"/>
    <col min="3" max="3" width="9.26953125" customWidth="1"/>
    <col min="4" max="4" width="26.36328125" customWidth="1"/>
    <col min="5" max="5" width="12.36328125" bestFit="1" customWidth="1"/>
    <col min="6" max="6" width="17.54296875" bestFit="1" customWidth="1"/>
    <col min="8" max="8" width="15.36328125" bestFit="1" customWidth="1"/>
    <col min="9" max="9" width="23.81640625" bestFit="1" customWidth="1"/>
    <col min="11" max="11" width="12.36328125" bestFit="1" customWidth="1"/>
    <col min="12" max="12" width="24.81640625" bestFit="1" customWidth="1"/>
  </cols>
  <sheetData>
    <row r="3" spans="1:12" x14ac:dyDescent="0.35">
      <c r="A3" t="s">
        <v>3</v>
      </c>
      <c r="C3" t="s">
        <v>6</v>
      </c>
      <c r="H3" t="s">
        <v>7</v>
      </c>
      <c r="K3" t="s">
        <v>8</v>
      </c>
    </row>
    <row r="4" spans="1:12" x14ac:dyDescent="0.35">
      <c r="A4" t="s">
        <v>2</v>
      </c>
      <c r="C4" s="1" t="s">
        <v>0</v>
      </c>
      <c r="D4" t="s">
        <v>2</v>
      </c>
      <c r="H4" s="1" t="s">
        <v>0</v>
      </c>
      <c r="I4" t="s">
        <v>4</v>
      </c>
      <c r="K4" s="1" t="s">
        <v>0</v>
      </c>
      <c r="L4" t="s">
        <v>5</v>
      </c>
    </row>
    <row r="5" spans="1:12" x14ac:dyDescent="0.35">
      <c r="A5" s="3">
        <v>431</v>
      </c>
      <c r="C5" s="2" t="s">
        <v>43</v>
      </c>
      <c r="D5" s="3">
        <v>13</v>
      </c>
      <c r="H5" s="2" t="s">
        <v>43</v>
      </c>
      <c r="I5" s="4">
        <v>35.692307692307693</v>
      </c>
      <c r="K5" s="2" t="s">
        <v>43</v>
      </c>
      <c r="L5" s="4">
        <v>4.166666666666667</v>
      </c>
    </row>
    <row r="6" spans="1:12" x14ac:dyDescent="0.35">
      <c r="C6" s="2" t="s">
        <v>44</v>
      </c>
      <c r="D6" s="3">
        <v>10</v>
      </c>
      <c r="H6" s="2" t="s">
        <v>44</v>
      </c>
      <c r="I6" s="4">
        <v>45.4</v>
      </c>
      <c r="K6" s="2" t="s">
        <v>44</v>
      </c>
      <c r="L6" s="4">
        <v>5.75</v>
      </c>
    </row>
    <row r="7" spans="1:12" x14ac:dyDescent="0.35">
      <c r="C7" s="2" t="s">
        <v>45</v>
      </c>
      <c r="D7" s="3">
        <v>8</v>
      </c>
      <c r="H7" s="2" t="s">
        <v>45</v>
      </c>
      <c r="I7" s="4">
        <v>29.375</v>
      </c>
      <c r="K7" s="2" t="s">
        <v>45</v>
      </c>
      <c r="L7" s="4">
        <v>4.75</v>
      </c>
    </row>
    <row r="8" spans="1:12" x14ac:dyDescent="0.35">
      <c r="A8" t="s">
        <v>4</v>
      </c>
      <c r="C8" s="2" t="s">
        <v>46</v>
      </c>
      <c r="D8" s="3">
        <v>12</v>
      </c>
      <c r="H8" s="2" t="s">
        <v>46</v>
      </c>
      <c r="I8" s="4">
        <v>34.583333333333336</v>
      </c>
      <c r="K8" s="2" t="s">
        <v>46</v>
      </c>
      <c r="L8" s="4">
        <v>7</v>
      </c>
    </row>
    <row r="9" spans="1:12" x14ac:dyDescent="0.35">
      <c r="A9" s="4">
        <v>36.670533642691417</v>
      </c>
      <c r="C9" s="2" t="s">
        <v>47</v>
      </c>
      <c r="D9" s="3">
        <v>19</v>
      </c>
      <c r="H9" s="2" t="s">
        <v>47</v>
      </c>
      <c r="I9" s="4">
        <v>38.684210526315788</v>
      </c>
      <c r="K9" s="2" t="s">
        <v>47</v>
      </c>
      <c r="L9" s="4">
        <v>3.1428571428571428</v>
      </c>
    </row>
    <row r="10" spans="1:12" x14ac:dyDescent="0.35">
      <c r="C10" s="2" t="s">
        <v>48</v>
      </c>
      <c r="D10" s="3">
        <v>9</v>
      </c>
      <c r="H10" s="2" t="s">
        <v>48</v>
      </c>
      <c r="I10" s="4">
        <v>34.777777777777779</v>
      </c>
      <c r="K10" s="2" t="s">
        <v>48</v>
      </c>
      <c r="L10" s="4">
        <v>8</v>
      </c>
    </row>
    <row r="11" spans="1:12" x14ac:dyDescent="0.35">
      <c r="C11" s="2" t="s">
        <v>49</v>
      </c>
      <c r="D11" s="3">
        <v>13</v>
      </c>
      <c r="H11" s="2" t="s">
        <v>49</v>
      </c>
      <c r="I11" s="4">
        <v>37.307692307692307</v>
      </c>
      <c r="K11" s="2" t="s">
        <v>49</v>
      </c>
      <c r="L11" s="4">
        <v>5.25</v>
      </c>
    </row>
    <row r="12" spans="1:12" x14ac:dyDescent="0.35">
      <c r="A12" t="s">
        <v>5</v>
      </c>
      <c r="C12" s="2" t="s">
        <v>50</v>
      </c>
      <c r="D12" s="3">
        <v>19</v>
      </c>
      <c r="H12" s="2" t="s">
        <v>50</v>
      </c>
      <c r="I12" s="4">
        <v>35.631578947368418</v>
      </c>
      <c r="K12" s="2" t="s">
        <v>50</v>
      </c>
      <c r="L12" s="4">
        <v>4.5714285714285712</v>
      </c>
    </row>
    <row r="13" spans="1:12" x14ac:dyDescent="0.35">
      <c r="A13" s="4">
        <v>4.7154471544715451</v>
      </c>
      <c r="C13" s="2" t="s">
        <v>51</v>
      </c>
      <c r="D13" s="3">
        <v>10</v>
      </c>
      <c r="H13" s="2" t="s">
        <v>51</v>
      </c>
      <c r="I13" s="4">
        <v>36.6</v>
      </c>
      <c r="K13" s="2" t="s">
        <v>51</v>
      </c>
      <c r="L13" s="4">
        <v>2.75</v>
      </c>
    </row>
    <row r="14" spans="1:12" x14ac:dyDescent="0.35">
      <c r="C14" s="2" t="s">
        <v>52</v>
      </c>
      <c r="D14" s="3">
        <v>20</v>
      </c>
      <c r="H14" s="2" t="s">
        <v>52</v>
      </c>
      <c r="I14" s="4">
        <v>39.700000000000003</v>
      </c>
      <c r="K14" s="2" t="s">
        <v>52</v>
      </c>
      <c r="L14" s="4">
        <v>4.5</v>
      </c>
    </row>
    <row r="15" spans="1:12" x14ac:dyDescent="0.35">
      <c r="C15" s="2" t="s">
        <v>53</v>
      </c>
      <c r="D15" s="3">
        <v>15</v>
      </c>
      <c r="H15" s="2" t="s">
        <v>53</v>
      </c>
      <c r="I15" s="4">
        <v>37.4</v>
      </c>
      <c r="K15" s="2" t="s">
        <v>53</v>
      </c>
      <c r="L15" s="4">
        <v>5.5</v>
      </c>
    </row>
    <row r="16" spans="1:12" x14ac:dyDescent="0.35">
      <c r="C16" s="2" t="s">
        <v>54</v>
      </c>
      <c r="D16" s="3">
        <v>13</v>
      </c>
      <c r="H16" s="2" t="s">
        <v>54</v>
      </c>
      <c r="I16" s="4">
        <v>27.76923076923077</v>
      </c>
      <c r="K16" s="2" t="s">
        <v>54</v>
      </c>
      <c r="L16" s="4">
        <v>5.6</v>
      </c>
    </row>
    <row r="17" spans="3:12" x14ac:dyDescent="0.35">
      <c r="C17" s="2" t="s">
        <v>55</v>
      </c>
      <c r="D17" s="3">
        <v>9</v>
      </c>
      <c r="H17" s="2" t="s">
        <v>55</v>
      </c>
      <c r="I17" s="4">
        <v>38.777777777777779</v>
      </c>
      <c r="K17" s="2" t="s">
        <v>55</v>
      </c>
      <c r="L17" s="4">
        <v>5.75</v>
      </c>
    </row>
    <row r="18" spans="3:12" x14ac:dyDescent="0.35">
      <c r="C18" s="2" t="s">
        <v>56</v>
      </c>
      <c r="D18" s="3">
        <v>19</v>
      </c>
      <c r="H18" s="2" t="s">
        <v>56</v>
      </c>
      <c r="I18" s="4">
        <v>31</v>
      </c>
      <c r="K18" s="2" t="s">
        <v>56</v>
      </c>
      <c r="L18" s="4">
        <v>3.4444444444444446</v>
      </c>
    </row>
    <row r="19" spans="3:12" x14ac:dyDescent="0.35">
      <c r="C19" s="2" t="s">
        <v>57</v>
      </c>
      <c r="D19" s="3">
        <v>14</v>
      </c>
      <c r="H19" s="2" t="s">
        <v>57</v>
      </c>
      <c r="I19" s="4">
        <v>35.928571428571431</v>
      </c>
      <c r="K19" s="2" t="s">
        <v>57</v>
      </c>
      <c r="L19" s="4">
        <v>1.5</v>
      </c>
    </row>
    <row r="20" spans="3:12" x14ac:dyDescent="0.35">
      <c r="C20" s="2" t="s">
        <v>58</v>
      </c>
      <c r="D20" s="3">
        <v>17</v>
      </c>
      <c r="H20" s="2" t="s">
        <v>58</v>
      </c>
      <c r="I20" s="4">
        <v>37.882352941176471</v>
      </c>
      <c r="K20" s="2" t="s">
        <v>58</v>
      </c>
      <c r="L20" s="4">
        <v>3.6666666666666665</v>
      </c>
    </row>
    <row r="21" spans="3:12" x14ac:dyDescent="0.35">
      <c r="C21" s="2" t="s">
        <v>59</v>
      </c>
      <c r="D21" s="3">
        <v>17</v>
      </c>
      <c r="H21" s="2" t="s">
        <v>59</v>
      </c>
      <c r="I21" s="4">
        <v>40.588235294117645</v>
      </c>
      <c r="K21" s="2" t="s">
        <v>59</v>
      </c>
      <c r="L21" s="4">
        <v>4.4285714285714288</v>
      </c>
    </row>
    <row r="22" spans="3:12" x14ac:dyDescent="0.35">
      <c r="C22" s="2" t="s">
        <v>60</v>
      </c>
      <c r="D22" s="3">
        <v>15</v>
      </c>
      <c r="H22" s="2" t="s">
        <v>60</v>
      </c>
      <c r="I22" s="4">
        <v>34.533333333333331</v>
      </c>
      <c r="K22" s="2" t="s">
        <v>60</v>
      </c>
      <c r="L22" s="4">
        <v>6</v>
      </c>
    </row>
    <row r="23" spans="3:12" x14ac:dyDescent="0.35">
      <c r="C23" s="2" t="s">
        <v>61</v>
      </c>
      <c r="D23" s="3">
        <v>9</v>
      </c>
      <c r="H23" s="2" t="s">
        <v>61</v>
      </c>
      <c r="I23" s="4">
        <v>40.333333333333336</v>
      </c>
      <c r="K23" s="2" t="s">
        <v>61</v>
      </c>
      <c r="L23" s="4">
        <v>2.6666666666666665</v>
      </c>
    </row>
    <row r="24" spans="3:12" x14ac:dyDescent="0.35">
      <c r="C24" s="2" t="s">
        <v>62</v>
      </c>
      <c r="D24" s="3">
        <v>14</v>
      </c>
      <c r="H24" s="2" t="s">
        <v>62</v>
      </c>
      <c r="I24" s="4">
        <v>35.285714285714285</v>
      </c>
      <c r="K24" s="2" t="s">
        <v>62</v>
      </c>
      <c r="L24" s="4">
        <v>7.5</v>
      </c>
    </row>
    <row r="25" spans="3:12" x14ac:dyDescent="0.35">
      <c r="C25" s="2" t="s">
        <v>63</v>
      </c>
      <c r="D25" s="3">
        <v>22</v>
      </c>
      <c r="H25" s="2" t="s">
        <v>63</v>
      </c>
      <c r="I25" s="4">
        <v>35.5</v>
      </c>
      <c r="K25" s="2" t="s">
        <v>63</v>
      </c>
      <c r="L25" s="4">
        <v>4.5</v>
      </c>
    </row>
    <row r="26" spans="3:12" x14ac:dyDescent="0.35">
      <c r="C26" s="2" t="s">
        <v>64</v>
      </c>
      <c r="D26" s="3">
        <v>16</v>
      </c>
      <c r="H26" s="2" t="s">
        <v>64</v>
      </c>
      <c r="I26" s="4">
        <v>38.5625</v>
      </c>
      <c r="K26" s="2" t="s">
        <v>64</v>
      </c>
      <c r="L26" s="4">
        <v>8</v>
      </c>
    </row>
    <row r="27" spans="3:12" x14ac:dyDescent="0.35">
      <c r="C27" s="2" t="s">
        <v>65</v>
      </c>
      <c r="D27" s="3">
        <v>22</v>
      </c>
      <c r="H27" s="2" t="s">
        <v>65</v>
      </c>
      <c r="I27" s="4">
        <v>42.727272727272727</v>
      </c>
      <c r="K27" s="2" t="s">
        <v>65</v>
      </c>
      <c r="L27" s="4">
        <v>4.3636363636363633</v>
      </c>
    </row>
    <row r="28" spans="3:12" x14ac:dyDescent="0.35">
      <c r="C28" s="2" t="s">
        <v>66</v>
      </c>
      <c r="D28" s="3">
        <v>12</v>
      </c>
      <c r="H28" s="2" t="s">
        <v>66</v>
      </c>
      <c r="I28" s="4">
        <v>37.416666666666664</v>
      </c>
      <c r="K28" s="2" t="s">
        <v>66</v>
      </c>
      <c r="L28" s="4">
        <v>0</v>
      </c>
    </row>
    <row r="29" spans="3:12" x14ac:dyDescent="0.35">
      <c r="C29" s="2" t="s">
        <v>67</v>
      </c>
      <c r="D29" s="3">
        <v>20</v>
      </c>
      <c r="H29" s="2" t="s">
        <v>67</v>
      </c>
      <c r="I29" s="4">
        <v>32.450000000000003</v>
      </c>
      <c r="K29" s="2" t="s">
        <v>67</v>
      </c>
      <c r="L29" s="4">
        <v>10</v>
      </c>
    </row>
    <row r="30" spans="3:12" x14ac:dyDescent="0.35">
      <c r="C30" s="2" t="s">
        <v>68</v>
      </c>
      <c r="D30" s="3">
        <v>18</v>
      </c>
      <c r="H30" s="2" t="s">
        <v>68</v>
      </c>
      <c r="I30" s="4">
        <v>40.055555555555557</v>
      </c>
      <c r="K30" s="2" t="s">
        <v>69</v>
      </c>
      <c r="L30" s="4">
        <v>6.75</v>
      </c>
    </row>
    <row r="31" spans="3:12" x14ac:dyDescent="0.35">
      <c r="C31" s="2" t="s">
        <v>69</v>
      </c>
      <c r="D31" s="3">
        <v>18</v>
      </c>
      <c r="H31" s="2" t="s">
        <v>69</v>
      </c>
      <c r="I31" s="4">
        <v>31.666666666666668</v>
      </c>
      <c r="K31" s="2" t="s">
        <v>70</v>
      </c>
      <c r="L31" s="4">
        <v>7</v>
      </c>
    </row>
    <row r="32" spans="3:12" x14ac:dyDescent="0.35">
      <c r="C32" s="2" t="s">
        <v>70</v>
      </c>
      <c r="D32" s="3">
        <v>13</v>
      </c>
      <c r="H32" s="2" t="s">
        <v>70</v>
      </c>
      <c r="I32" s="4">
        <v>39.769230769230766</v>
      </c>
      <c r="K32" s="2" t="s">
        <v>71</v>
      </c>
      <c r="L32" s="4">
        <v>3.3333333333333335</v>
      </c>
    </row>
    <row r="33" spans="1:12" x14ac:dyDescent="0.35">
      <c r="C33" s="2" t="s">
        <v>71</v>
      </c>
      <c r="D33" s="3">
        <v>15</v>
      </c>
      <c r="H33" s="2" t="s">
        <v>71</v>
      </c>
      <c r="I33" s="4">
        <v>36.733333333333334</v>
      </c>
      <c r="K33" s="2" t="s">
        <v>1</v>
      </c>
      <c r="L33" s="4">
        <v>4.7154471544715451</v>
      </c>
    </row>
    <row r="34" spans="1:12" x14ac:dyDescent="0.35">
      <c r="C34" s="2" t="s">
        <v>1</v>
      </c>
      <c r="D34" s="3">
        <v>431</v>
      </c>
      <c r="H34" s="2" t="s">
        <v>1</v>
      </c>
      <c r="I34" s="4">
        <v>36.670533642691417</v>
      </c>
    </row>
    <row r="40" spans="1:12" x14ac:dyDescent="0.35">
      <c r="A40" s="1" t="s">
        <v>0</v>
      </c>
      <c r="B40" t="s">
        <v>11</v>
      </c>
      <c r="C40" t="s">
        <v>12</v>
      </c>
    </row>
    <row r="41" spans="1:12" x14ac:dyDescent="0.35">
      <c r="A41" s="2" t="s">
        <v>9</v>
      </c>
      <c r="B41" s="6">
        <v>224</v>
      </c>
      <c r="C41" s="7">
        <v>0.51972157772621808</v>
      </c>
    </row>
    <row r="42" spans="1:12" x14ac:dyDescent="0.35">
      <c r="A42" s="2" t="s">
        <v>10</v>
      </c>
      <c r="B42" s="6">
        <v>207</v>
      </c>
      <c r="C42" s="7">
        <v>0.48027842227378192</v>
      </c>
    </row>
    <row r="43" spans="1:12" x14ac:dyDescent="0.35">
      <c r="A43" s="2" t="s">
        <v>1</v>
      </c>
      <c r="B43" s="6">
        <v>431</v>
      </c>
      <c r="C43" s="7">
        <v>1</v>
      </c>
    </row>
    <row r="45" spans="1:12" x14ac:dyDescent="0.35">
      <c r="A45" s="12" t="s">
        <v>13</v>
      </c>
      <c r="B45" s="13" t="s">
        <v>15</v>
      </c>
      <c r="C45" s="13" t="s">
        <v>14</v>
      </c>
      <c r="D45" s="9"/>
    </row>
    <row r="46" spans="1:12" x14ac:dyDescent="0.35">
      <c r="A46" s="14" t="str">
        <f>A42</f>
        <v>Not Admitted</v>
      </c>
      <c r="B46" s="14">
        <f t="shared" ref="A46:C47" si="0">B41</f>
        <v>224</v>
      </c>
      <c r="C46" s="10">
        <f t="shared" si="0"/>
        <v>0.51972157772621808</v>
      </c>
      <c r="D46" s="11"/>
    </row>
    <row r="47" spans="1:12" x14ac:dyDescent="0.35">
      <c r="A47" s="14" t="str">
        <f>A41</f>
        <v>Admitted</v>
      </c>
      <c r="B47" s="14">
        <f t="shared" si="0"/>
        <v>207</v>
      </c>
      <c r="C47" s="10">
        <f t="shared" si="0"/>
        <v>0.48027842227378192</v>
      </c>
      <c r="D47" s="11"/>
    </row>
    <row r="48" spans="1:12" x14ac:dyDescent="0.35">
      <c r="C48" s="8"/>
    </row>
    <row r="49" spans="1:9" x14ac:dyDescent="0.35">
      <c r="A49" t="s">
        <v>25</v>
      </c>
      <c r="E49" t="s">
        <v>29</v>
      </c>
    </row>
    <row r="50" spans="1:9" x14ac:dyDescent="0.35">
      <c r="A50" s="1" t="s">
        <v>0</v>
      </c>
      <c r="B50" t="s">
        <v>24</v>
      </c>
      <c r="E50" s="1" t="s">
        <v>0</v>
      </c>
      <c r="F50" t="s">
        <v>28</v>
      </c>
    </row>
    <row r="51" spans="1:9" x14ac:dyDescent="0.35">
      <c r="A51" s="2" t="s">
        <v>16</v>
      </c>
      <c r="B51" s="6">
        <v>38</v>
      </c>
      <c r="E51" s="2" t="s">
        <v>26</v>
      </c>
      <c r="F51" s="6">
        <v>283</v>
      </c>
    </row>
    <row r="52" spans="1:9" x14ac:dyDescent="0.35">
      <c r="A52" s="2" t="s">
        <v>17</v>
      </c>
      <c r="B52" s="6">
        <v>45</v>
      </c>
      <c r="E52" s="2" t="s">
        <v>27</v>
      </c>
      <c r="F52" s="6">
        <v>148</v>
      </c>
    </row>
    <row r="53" spans="1:9" x14ac:dyDescent="0.35">
      <c r="A53" s="2" t="s">
        <v>18</v>
      </c>
      <c r="B53" s="6">
        <v>54</v>
      </c>
      <c r="E53" s="2" t="s">
        <v>1</v>
      </c>
      <c r="F53" s="6">
        <v>431</v>
      </c>
    </row>
    <row r="54" spans="1:9" x14ac:dyDescent="0.35">
      <c r="A54" s="2" t="s">
        <v>19</v>
      </c>
      <c r="B54" s="6">
        <v>65</v>
      </c>
    </row>
    <row r="55" spans="1:9" x14ac:dyDescent="0.35">
      <c r="A55" s="2" t="s">
        <v>20</v>
      </c>
      <c r="B55" s="6">
        <v>65</v>
      </c>
    </row>
    <row r="56" spans="1:9" x14ac:dyDescent="0.35">
      <c r="A56" s="2" t="s">
        <v>21</v>
      </c>
      <c r="B56" s="6">
        <v>53</v>
      </c>
    </row>
    <row r="57" spans="1:9" x14ac:dyDescent="0.35">
      <c r="A57" s="2" t="s">
        <v>22</v>
      </c>
      <c r="B57" s="6">
        <v>45</v>
      </c>
    </row>
    <row r="58" spans="1:9" x14ac:dyDescent="0.35">
      <c r="A58" s="2" t="s">
        <v>23</v>
      </c>
      <c r="B58" s="6">
        <v>66</v>
      </c>
    </row>
    <row r="59" spans="1:9" x14ac:dyDescent="0.35">
      <c r="A59" s="2" t="s">
        <v>1</v>
      </c>
      <c r="B59" s="6">
        <v>431</v>
      </c>
    </row>
    <row r="62" spans="1:9" x14ac:dyDescent="0.35">
      <c r="A62" s="1" t="s">
        <v>0</v>
      </c>
      <c r="B62" t="s">
        <v>32</v>
      </c>
      <c r="E62" s="1" t="s">
        <v>0</v>
      </c>
      <c r="F62" t="s">
        <v>41</v>
      </c>
      <c r="I62" s="1" t="s">
        <v>0</v>
      </c>
    </row>
    <row r="63" spans="1:9" x14ac:dyDescent="0.35">
      <c r="A63" s="2" t="s">
        <v>30</v>
      </c>
      <c r="B63" s="4">
        <v>194</v>
      </c>
      <c r="E63" s="2" t="s">
        <v>36</v>
      </c>
      <c r="F63" s="4">
        <v>6</v>
      </c>
      <c r="I63" s="2" t="s">
        <v>42</v>
      </c>
    </row>
    <row r="64" spans="1:9" x14ac:dyDescent="0.35">
      <c r="A64" s="2" t="s">
        <v>31</v>
      </c>
      <c r="B64" s="4">
        <v>237</v>
      </c>
      <c r="E64" s="2" t="s">
        <v>34</v>
      </c>
      <c r="F64" s="4">
        <v>6</v>
      </c>
      <c r="I64" s="2" t="s">
        <v>1</v>
      </c>
    </row>
    <row r="65" spans="1:6" x14ac:dyDescent="0.35">
      <c r="A65" s="2" t="s">
        <v>1</v>
      </c>
      <c r="B65" s="6">
        <v>431</v>
      </c>
      <c r="E65" s="2" t="s">
        <v>40</v>
      </c>
      <c r="F65" s="4">
        <v>6</v>
      </c>
    </row>
    <row r="66" spans="1:6" x14ac:dyDescent="0.35">
      <c r="E66" s="2" t="s">
        <v>33</v>
      </c>
      <c r="F66" s="4">
        <v>12</v>
      </c>
    </row>
    <row r="67" spans="1:6" x14ac:dyDescent="0.35">
      <c r="E67" s="2" t="s">
        <v>39</v>
      </c>
      <c r="F67" s="4">
        <v>14</v>
      </c>
    </row>
    <row r="68" spans="1:6" x14ac:dyDescent="0.35">
      <c r="E68" s="2" t="s">
        <v>38</v>
      </c>
      <c r="F68" s="4">
        <v>46</v>
      </c>
    </row>
    <row r="69" spans="1:6" x14ac:dyDescent="0.35">
      <c r="E69" s="2" t="s">
        <v>35</v>
      </c>
      <c r="F69" s="4">
        <v>89</v>
      </c>
    </row>
    <row r="70" spans="1:6" x14ac:dyDescent="0.35">
      <c r="E70" s="2" t="s">
        <v>37</v>
      </c>
      <c r="F70" s="4">
        <v>252</v>
      </c>
    </row>
    <row r="71" spans="1:6" x14ac:dyDescent="0.35">
      <c r="E71" s="2" t="s">
        <v>1</v>
      </c>
      <c r="F71" s="6">
        <v>431</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B38A-7B73-44CC-829F-A6BBA499D439}">
  <dimension ref="A1:O17"/>
  <sheetViews>
    <sheetView tabSelected="1" zoomScale="110" zoomScaleNormal="110" workbookViewId="0">
      <selection activeCell="N9" sqref="N9"/>
    </sheetView>
  </sheetViews>
  <sheetFormatPr defaultRowHeight="14.5" x14ac:dyDescent="0.35"/>
  <cols>
    <col min="8" max="8" width="8.7265625" customWidth="1"/>
  </cols>
  <sheetData>
    <row r="1" spans="1:15" x14ac:dyDescent="0.35">
      <c r="A1" s="5"/>
      <c r="B1" s="5"/>
      <c r="C1" s="5"/>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row r="5" spans="1:15" x14ac:dyDescent="0.35">
      <c r="A5" s="5"/>
      <c r="B5" s="5"/>
      <c r="C5" s="5"/>
      <c r="D5" s="5"/>
      <c r="E5" s="5"/>
      <c r="F5" s="5"/>
      <c r="G5" s="5"/>
      <c r="H5" s="5"/>
      <c r="I5" s="5"/>
      <c r="J5" s="5"/>
      <c r="K5" s="5"/>
      <c r="L5" s="5"/>
      <c r="M5" s="5"/>
      <c r="N5" s="5"/>
      <c r="O5" s="5"/>
    </row>
    <row r="6" spans="1:15" x14ac:dyDescent="0.35">
      <c r="A6" s="5"/>
      <c r="B6" s="5"/>
      <c r="C6" s="5"/>
      <c r="D6" s="5"/>
      <c r="E6" s="5"/>
      <c r="F6" s="5"/>
      <c r="G6" s="5"/>
      <c r="H6" s="5"/>
      <c r="I6" s="5"/>
      <c r="J6" s="5"/>
      <c r="K6" s="5"/>
      <c r="L6" s="5"/>
      <c r="M6" s="5"/>
      <c r="N6" s="5"/>
      <c r="O6" s="5"/>
    </row>
    <row r="7" spans="1:15" x14ac:dyDescent="0.35">
      <c r="A7" s="5"/>
      <c r="B7" s="5"/>
      <c r="C7" s="5"/>
      <c r="D7" s="5"/>
      <c r="E7" s="5"/>
      <c r="F7" s="5"/>
      <c r="G7" s="5"/>
      <c r="H7" s="5"/>
      <c r="I7" s="5"/>
      <c r="J7" s="5"/>
      <c r="K7" s="5"/>
      <c r="L7" s="5"/>
      <c r="M7" s="5"/>
      <c r="N7" s="5"/>
      <c r="O7" s="5"/>
    </row>
    <row r="8" spans="1:15" x14ac:dyDescent="0.35">
      <c r="A8" s="5"/>
      <c r="B8" s="5"/>
      <c r="C8" s="5"/>
      <c r="D8" s="5"/>
      <c r="E8" s="5"/>
      <c r="F8" s="5"/>
      <c r="G8" s="5"/>
      <c r="H8" s="5"/>
      <c r="I8" s="5"/>
      <c r="J8" s="5"/>
      <c r="K8" s="5"/>
      <c r="L8" s="5"/>
      <c r="M8" s="5"/>
      <c r="N8" s="5"/>
      <c r="O8" s="5"/>
    </row>
    <row r="9" spans="1:15" x14ac:dyDescent="0.35">
      <c r="A9" s="5"/>
      <c r="B9" s="5"/>
      <c r="C9" s="5"/>
      <c r="D9" s="5"/>
      <c r="E9" s="5"/>
      <c r="F9" s="5"/>
      <c r="G9" s="5"/>
      <c r="H9" s="5"/>
      <c r="I9" s="5"/>
      <c r="J9" s="5"/>
      <c r="K9" s="5"/>
      <c r="L9" s="5"/>
      <c r="M9" s="5"/>
      <c r="N9" s="5"/>
      <c r="O9" s="5"/>
    </row>
    <row r="10" spans="1:15" x14ac:dyDescent="0.35">
      <c r="A10" s="5"/>
      <c r="B10" s="5"/>
      <c r="C10" s="5"/>
      <c r="D10" s="5"/>
      <c r="E10" s="5"/>
      <c r="F10" s="5"/>
      <c r="G10" s="5"/>
      <c r="H10" s="5"/>
      <c r="I10" s="5"/>
      <c r="J10" s="5"/>
      <c r="K10" s="5"/>
      <c r="L10" s="5"/>
      <c r="M10" s="5"/>
      <c r="N10" s="5"/>
      <c r="O10" s="5"/>
    </row>
    <row r="11" spans="1:15" x14ac:dyDescent="0.35">
      <c r="A11" s="5"/>
      <c r="B11" s="5"/>
      <c r="C11" s="5"/>
      <c r="D11" s="5"/>
      <c r="E11" s="5"/>
      <c r="F11" s="5"/>
      <c r="G11" s="5"/>
      <c r="H11" s="5"/>
      <c r="I11" s="5"/>
      <c r="J11" s="5"/>
      <c r="K11" s="5"/>
      <c r="L11" s="5"/>
      <c r="M11" s="5"/>
      <c r="N11" s="5"/>
      <c r="O11" s="5"/>
    </row>
    <row r="12" spans="1:15" x14ac:dyDescent="0.35">
      <c r="A12" s="5"/>
      <c r="B12" s="5"/>
      <c r="C12" s="5"/>
      <c r="D12" s="5"/>
      <c r="E12" s="5"/>
      <c r="F12" s="5"/>
      <c r="G12" s="5"/>
      <c r="H12" s="5"/>
      <c r="I12" s="5"/>
      <c r="J12" s="5"/>
      <c r="K12" s="5"/>
      <c r="L12" s="5"/>
      <c r="M12" s="5"/>
      <c r="N12" s="5"/>
      <c r="O12" s="5"/>
    </row>
    <row r="13" spans="1:15" x14ac:dyDescent="0.35">
      <c r="A13" s="5"/>
      <c r="B13" s="5"/>
      <c r="C13" s="5"/>
      <c r="D13" s="5"/>
      <c r="E13" s="5"/>
      <c r="F13" s="5"/>
      <c r="G13" s="5"/>
      <c r="H13" s="5"/>
      <c r="I13" s="5"/>
      <c r="J13" s="5"/>
      <c r="K13" s="5"/>
      <c r="L13" s="5"/>
      <c r="M13" s="5"/>
      <c r="N13" s="5"/>
      <c r="O13" s="5"/>
    </row>
    <row r="14" spans="1:15" x14ac:dyDescent="0.35">
      <c r="A14" s="5"/>
      <c r="B14" s="5"/>
      <c r="C14" s="5"/>
      <c r="D14" s="5"/>
      <c r="E14" s="5"/>
      <c r="F14" s="5"/>
      <c r="G14" s="5"/>
      <c r="H14" s="5"/>
      <c r="I14" s="5"/>
      <c r="J14" s="5"/>
      <c r="K14" s="5"/>
      <c r="L14" s="5"/>
      <c r="M14" s="5"/>
      <c r="N14" s="5"/>
      <c r="O14" s="5"/>
    </row>
    <row r="15" spans="1:15" x14ac:dyDescent="0.35">
      <c r="A15" s="5"/>
      <c r="B15" s="5"/>
      <c r="C15" s="5"/>
      <c r="D15" s="5"/>
      <c r="E15" s="5"/>
      <c r="F15" s="5"/>
      <c r="G15" s="5"/>
      <c r="H15" s="5"/>
      <c r="I15" s="5"/>
      <c r="J15" s="5"/>
      <c r="K15" s="5"/>
      <c r="L15" s="5"/>
      <c r="M15" s="5"/>
      <c r="N15" s="5"/>
      <c r="O15" s="5"/>
    </row>
    <row r="16" spans="1:15" x14ac:dyDescent="0.35">
      <c r="A16" s="5"/>
      <c r="B16" s="5"/>
      <c r="C16" s="5"/>
      <c r="D16" s="5"/>
      <c r="E16" s="5"/>
      <c r="F16" s="5"/>
      <c r="G16" s="5"/>
      <c r="H16" s="5"/>
      <c r="I16" s="5"/>
      <c r="J16" s="5"/>
      <c r="K16" s="5"/>
      <c r="L16" s="5"/>
      <c r="M16" s="5"/>
      <c r="N16" s="5"/>
      <c r="O16" s="5"/>
    </row>
    <row r="17" spans="1:15" x14ac:dyDescent="0.35">
      <c r="A17" s="5"/>
      <c r="B17" s="5"/>
      <c r="C17" s="5"/>
      <c r="D17" s="5"/>
      <c r="E17" s="5"/>
      <c r="F17" s="5"/>
      <c r="G17" s="5"/>
      <c r="H17" s="5"/>
      <c r="I17" s="5"/>
      <c r="J17" s="5"/>
      <c r="K17" s="5"/>
      <c r="L17" s="5"/>
      <c r="M17" s="5"/>
      <c r="N17" s="5"/>
      <c r="O1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B206-41C9-4898-9F37-CFED142BD013}">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31AC-93AD-4589-BD94-6D075316F3E1}">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828F-D309-4AFB-917F-C40F5DF17443}">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443453-EE92-483E-ADFD-A3B9D798FC63}">
  <ds:schemaRefs/>
</ds:datastoreItem>
</file>

<file path=customXml/itemProps2.xml><?xml version="1.0" encoding="utf-8"?>
<ds:datastoreItem xmlns:ds="http://schemas.openxmlformats.org/officeDocument/2006/customXml" ds:itemID="{171EA8E5-B3A9-4C39-815B-8169F41BE4FB}">
  <ds:schemaRefs/>
</ds:datastoreItem>
</file>

<file path=customXml/itemProps3.xml><?xml version="1.0" encoding="utf-8"?>
<ds:datastoreItem xmlns:ds="http://schemas.openxmlformats.org/officeDocument/2006/customXml" ds:itemID="{F401DF7D-3A25-40A1-A69F-8C15FD3AB017}">
  <ds:schemaRefs/>
</ds:datastoreItem>
</file>

<file path=customXml/itemProps4.xml><?xml version="1.0" encoding="utf-8"?>
<ds:datastoreItem xmlns:ds="http://schemas.openxmlformats.org/officeDocument/2006/customXml" ds:itemID="{F36638C0-2171-4A6A-BDD6-DB4D656B8E69}">
  <ds:schemaRefs/>
</ds:datastoreItem>
</file>

<file path=customXml/itemProps5.xml><?xml version="1.0" encoding="utf-8"?>
<ds:datastoreItem xmlns:ds="http://schemas.openxmlformats.org/officeDocument/2006/customXml" ds:itemID="{25872ABA-70DE-44C1-940B-234022DFD9E8}">
  <ds:schemaRefs/>
</ds:datastoreItem>
</file>

<file path=customXml/itemProps6.xml><?xml version="1.0" encoding="utf-8"?>
<ds:datastoreItem xmlns:ds="http://schemas.openxmlformats.org/officeDocument/2006/customXml" ds:itemID="{B48631D0-23D4-4C9D-A3A2-ECF56F8AA877}">
  <ds:schemaRefs>
    <ds:schemaRef ds:uri="http://schemas.microsoft.com/DataMashup"/>
  </ds:schemaRefs>
</ds:datastoreItem>
</file>

<file path=customXml/itemProps7.xml><?xml version="1.0" encoding="utf-8"?>
<ds:datastoreItem xmlns:ds="http://schemas.openxmlformats.org/officeDocument/2006/customXml" ds:itemID="{4B789D31-A8B2-4D9A-ACAF-38E72AB5ED04}">
  <ds:schemaRefs/>
</ds:datastoreItem>
</file>

<file path=customXml/itemProps8.xml><?xml version="1.0" encoding="utf-8"?>
<ds:datastoreItem xmlns:ds="http://schemas.openxmlformats.org/officeDocument/2006/customXml" ds:itemID="{533162EF-4964-4BBB-8FE7-017C6DAB36B9}">
  <ds:schemaRefs/>
</ds:datastoreItem>
</file>

<file path=customXml/itemProps9.xml><?xml version="1.0" encoding="utf-8"?>
<ds:datastoreItem xmlns:ds="http://schemas.openxmlformats.org/officeDocument/2006/customXml" ds:itemID="{F4898862-3CC6-45C6-AF3C-187F42F349F8}">
  <ds:schemaRefs/>
</ds:datastoreItem>
</file>

<file path=customXml/itemProps10.xml><?xml version="1.0" encoding="utf-8"?>
<ds:datastoreItem xmlns:ds="http://schemas.openxmlformats.org/officeDocument/2006/customXml" ds:itemID="{6DB23E5C-7017-47D8-973A-B42DBEA097F7}">
  <ds:schemaRefs/>
</ds:datastoreItem>
</file>

<file path=customXml/itemProps11.xml><?xml version="1.0" encoding="utf-8"?>
<ds:datastoreItem xmlns:ds="http://schemas.openxmlformats.org/officeDocument/2006/customXml" ds:itemID="{3E48C1C8-97B6-439F-B245-6853E278E8FA}">
  <ds:schemaRefs/>
</ds:datastoreItem>
</file>

<file path=customXml/itemProps12.xml><?xml version="1.0" encoding="utf-8"?>
<ds:datastoreItem xmlns:ds="http://schemas.openxmlformats.org/officeDocument/2006/customXml" ds:itemID="{471CEC24-8448-45A5-8837-21FD4A631F12}">
  <ds:schemaRefs/>
</ds:datastoreItem>
</file>

<file path=customXml/itemProps13.xml><?xml version="1.0" encoding="utf-8"?>
<ds:datastoreItem xmlns:ds="http://schemas.openxmlformats.org/officeDocument/2006/customXml" ds:itemID="{85B71B56-5214-480E-912E-E5B31555220D}">
  <ds:schemaRefs/>
</ds:datastoreItem>
</file>

<file path=customXml/itemProps14.xml><?xml version="1.0" encoding="utf-8"?>
<ds:datastoreItem xmlns:ds="http://schemas.openxmlformats.org/officeDocument/2006/customXml" ds:itemID="{3B979F57-1E96-417F-A7D9-7487DBD43577}">
  <ds:schemaRefs/>
</ds:datastoreItem>
</file>

<file path=customXml/itemProps15.xml><?xml version="1.0" encoding="utf-8"?>
<ds:datastoreItem xmlns:ds="http://schemas.openxmlformats.org/officeDocument/2006/customXml" ds:itemID="{FFE3C4FF-279F-46DE-8663-895221BCD361}">
  <ds:schemaRefs/>
</ds:datastoreItem>
</file>

<file path=customXml/itemProps16.xml><?xml version="1.0" encoding="utf-8"?>
<ds:datastoreItem xmlns:ds="http://schemas.openxmlformats.org/officeDocument/2006/customXml" ds:itemID="{CE6443AF-F349-4A54-864E-D6159879EE27}">
  <ds:schemaRefs/>
</ds:datastoreItem>
</file>

<file path=customXml/itemProps17.xml><?xml version="1.0" encoding="utf-8"?>
<ds:datastoreItem xmlns:ds="http://schemas.openxmlformats.org/officeDocument/2006/customXml" ds:itemID="{C1691381-D543-4641-AEB1-1E9C3817E6F0}">
  <ds:schemaRefs/>
</ds:datastoreItem>
</file>

<file path=customXml/itemProps18.xml><?xml version="1.0" encoding="utf-8"?>
<ds:datastoreItem xmlns:ds="http://schemas.openxmlformats.org/officeDocument/2006/customXml" ds:itemID="{2D22925A-4FB7-4D24-901D-BDB9E871C7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Waittime</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Yadav</dc:creator>
  <cp:lastModifiedBy>Alok Yadav</cp:lastModifiedBy>
  <dcterms:created xsi:type="dcterms:W3CDTF">2026-08-16T06:03:43Z</dcterms:created>
  <dcterms:modified xsi:type="dcterms:W3CDTF">2026-09-04T16:15:11Z</dcterms:modified>
</cp:coreProperties>
</file>